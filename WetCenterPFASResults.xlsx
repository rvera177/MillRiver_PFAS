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e32914169f9e226/Documents/Soil^0Water lab/"/>
    </mc:Choice>
  </mc:AlternateContent>
  <xr:revisionPtr revIDLastSave="2" documentId="8_{D6574DB2-1693-46AC-84D8-9F4C0A5B4FE3}" xr6:coauthVersionLast="47" xr6:coauthVersionMax="47" xr10:uidLastSave="{0A73D523-BBD9-48E2-A251-668808D582AF}"/>
  <bookViews>
    <workbookView xWindow="-110" yWindow="-110" windowWidth="22780" windowHeight="14540" xr2:uid="{00000000-000D-0000-FFFF-FFFF00000000}"/>
  </bookViews>
  <sheets>
    <sheet name="WetCenter Only" sheetId="5" r:id="rId1"/>
    <sheet name="Spatial PFAS Data" sheetId="1" r:id="rId2"/>
    <sheet name="mapping 11_26_25" sheetId="2" r:id="rId3"/>
    <sheet name="Raw" sheetId="3" r:id="rId4"/>
    <sheet name="first run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E2" i="5"/>
  <c r="E4" i="5"/>
  <c r="E5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3" i="5"/>
</calcChain>
</file>

<file path=xl/sharedStrings.xml><?xml version="1.0" encoding="utf-8"?>
<sst xmlns="http://schemas.openxmlformats.org/spreadsheetml/2006/main" count="617" uniqueCount="390">
  <si>
    <t>Name</t>
  </si>
  <si>
    <t>Date</t>
  </si>
  <si>
    <t>Time</t>
  </si>
  <si>
    <t>Lat</t>
  </si>
  <si>
    <t>Long</t>
  </si>
  <si>
    <t>PFAS40</t>
  </si>
  <si>
    <t>S1_1</t>
  </si>
  <si>
    <t>Wet Center</t>
  </si>
  <si>
    <t>S1_2</t>
  </si>
  <si>
    <t>MR Rec Area Picnic Table</t>
  </si>
  <si>
    <t>S1_3</t>
  </si>
  <si>
    <t>Puffers Waterfall</t>
  </si>
  <si>
    <t>S1_4</t>
  </si>
  <si>
    <t>Puffers Beach</t>
  </si>
  <si>
    <t>S1_5</t>
  </si>
  <si>
    <t>Upper Puffers Railroad</t>
  </si>
  <si>
    <t>S1_6</t>
  </si>
  <si>
    <t>Haskin Meadows (fishing spot)</t>
  </si>
  <si>
    <t>S1_7</t>
  </si>
  <si>
    <t>Atkins Reservoir</t>
  </si>
  <si>
    <t>S1_8</t>
  </si>
  <si>
    <t>Roaring</t>
  </si>
  <si>
    <t>S1_9</t>
  </si>
  <si>
    <t>Broad Hil</t>
  </si>
  <si>
    <t>S1_10</t>
  </si>
  <si>
    <t>Shutesbury Cemetary</t>
  </si>
  <si>
    <t>S1_11</t>
  </si>
  <si>
    <t>Doolittle</t>
  </si>
  <si>
    <t>S1_12</t>
  </si>
  <si>
    <t>Leverett Library</t>
  </si>
  <si>
    <t>S1_13</t>
  </si>
  <si>
    <t>Leverett Pond</t>
  </si>
  <si>
    <t>S1_14</t>
  </si>
  <si>
    <t>Eastman Up</t>
  </si>
  <si>
    <t>S1_15</t>
  </si>
  <si>
    <t>LW Boat Ramp</t>
  </si>
  <si>
    <t>S1_16</t>
  </si>
  <si>
    <t>Prindle School</t>
  </si>
  <si>
    <t>S1_17</t>
  </si>
  <si>
    <t>Horse Farm Down</t>
  </si>
  <si>
    <t>S1_18</t>
  </si>
  <si>
    <t>S1_19</t>
  </si>
  <si>
    <t>S1_20</t>
  </si>
  <si>
    <t>S2_1</t>
  </si>
  <si>
    <t>S2_2</t>
  </si>
  <si>
    <t>S2_3</t>
  </si>
  <si>
    <t>S2_4</t>
  </si>
  <si>
    <t>S2_5</t>
  </si>
  <si>
    <t>S2_6</t>
  </si>
  <si>
    <t>S2_7</t>
  </si>
  <si>
    <t>S2_8</t>
  </si>
  <si>
    <t>S2_9</t>
  </si>
  <si>
    <t>S2_10</t>
  </si>
  <si>
    <t>S2_11</t>
  </si>
  <si>
    <t>S2_12</t>
  </si>
  <si>
    <t>S2_13</t>
  </si>
  <si>
    <t>S2_14</t>
  </si>
  <si>
    <t>S2_15</t>
  </si>
  <si>
    <t>S2_16</t>
  </si>
  <si>
    <t>S2_17</t>
  </si>
  <si>
    <t>OSBPRED_ID</t>
  </si>
  <si>
    <t>SITE_ID</t>
  </si>
  <si>
    <t>PFBA Results</t>
  </si>
  <si>
    <t>PFMPA Results</t>
  </si>
  <si>
    <t>3-3 FTCA Results</t>
  </si>
  <si>
    <t>PFPeA Results</t>
  </si>
  <si>
    <t>PFMBA Results</t>
  </si>
  <si>
    <t>4:2FTS Results</t>
  </si>
  <si>
    <t>NFDHA Results</t>
  </si>
  <si>
    <t>PFHxA Results</t>
  </si>
  <si>
    <t>PFBS Results</t>
  </si>
  <si>
    <t>HFPO-DA Results</t>
  </si>
  <si>
    <t>PFEESA Results</t>
  </si>
  <si>
    <t>5-3 FTCA Results</t>
  </si>
  <si>
    <t>PFHpA Results</t>
  </si>
  <si>
    <t>PFPeS Results</t>
  </si>
  <si>
    <t>ADONA Results</t>
  </si>
  <si>
    <t>6:2FTS Results</t>
  </si>
  <si>
    <t>PFOA Results</t>
  </si>
  <si>
    <t>PFHxS Results</t>
  </si>
  <si>
    <t>PFNA Results</t>
  </si>
  <si>
    <t>PFHpS Results</t>
  </si>
  <si>
    <t>7-3 FTCA Results</t>
  </si>
  <si>
    <t>8:2FTS Results</t>
  </si>
  <si>
    <t>PFDA Results</t>
  </si>
  <si>
    <t>PFOS Results</t>
  </si>
  <si>
    <t>NMeFOSAA Results</t>
  </si>
  <si>
    <t>PFUnA Results</t>
  </si>
  <si>
    <t>NEtFOSAA Results</t>
  </si>
  <si>
    <t>9Cl-PF3ONS Results</t>
  </si>
  <si>
    <t>PFNS Results</t>
  </si>
  <si>
    <t>PFDoA Results</t>
  </si>
  <si>
    <t>PFDS Results</t>
  </si>
  <si>
    <t>PFTrDA Results</t>
  </si>
  <si>
    <t>11Cl-PF3OUdS Results</t>
  </si>
  <si>
    <t>PFTeDA Results</t>
  </si>
  <si>
    <t>PFDoS Results</t>
  </si>
  <si>
    <t>PFOSA Results</t>
  </si>
  <si>
    <t>NMeFOSE Results</t>
  </si>
  <si>
    <t>NMeFOSA Results</t>
  </si>
  <si>
    <t>NEtFOSE Results</t>
  </si>
  <si>
    <t>NEtFOSA Results</t>
  </si>
  <si>
    <t>Final Conc.</t>
  </si>
  <si>
    <t>SE13_1_11102025</t>
  </si>
  <si>
    <t>SE13_19_11102025</t>
  </si>
  <si>
    <t>SE13_P1_11102025</t>
  </si>
  <si>
    <t>Blank1_11102025</t>
  </si>
  <si>
    <t>SE15_1_11102025</t>
  </si>
  <si>
    <t>SE15_3_11102025</t>
  </si>
  <si>
    <t>SE15_5_11102025</t>
  </si>
  <si>
    <t>SE15_7_11102025</t>
  </si>
  <si>
    <t>SE15_9_11102025</t>
  </si>
  <si>
    <t>SE15_11_11102025</t>
  </si>
  <si>
    <t>Blank2_11102025</t>
  </si>
  <si>
    <t>SE15_13_11102025</t>
  </si>
  <si>
    <t>SE15_15_11102025</t>
  </si>
  <si>
    <t>SE15_17_11102025</t>
  </si>
  <si>
    <t>SE15_19_11102025</t>
  </si>
  <si>
    <t>SE15_P1_11102025</t>
  </si>
  <si>
    <t>S1_1_11172025</t>
  </si>
  <si>
    <t>S1_2_11172025</t>
  </si>
  <si>
    <t>S1_3_11172025</t>
  </si>
  <si>
    <t>S1_4_11172025</t>
  </si>
  <si>
    <t>S1_5_11172025</t>
  </si>
  <si>
    <t>S1_6_11172025</t>
  </si>
  <si>
    <t>Blank1116_11172025</t>
  </si>
  <si>
    <t>S1_16_11172025</t>
  </si>
  <si>
    <t>SE15_21_11172025</t>
  </si>
  <si>
    <t>SE15_23_11172025</t>
  </si>
  <si>
    <t>SE16_PE_11172025</t>
  </si>
  <si>
    <t>SE16_PH_11172025</t>
  </si>
  <si>
    <t>BF1010_11172025</t>
  </si>
  <si>
    <t>Blank11_11_11172025</t>
  </si>
  <si>
    <t>BFU_1031_11172025</t>
  </si>
  <si>
    <t>EB_PC2_11172025</t>
  </si>
  <si>
    <t>S1_7_11252025</t>
  </si>
  <si>
    <t>S1_8_11252025</t>
  </si>
  <si>
    <t>S1_9_11252025</t>
  </si>
  <si>
    <t>S1_10_11252025</t>
  </si>
  <si>
    <t>B2_1124_11252025</t>
  </si>
  <si>
    <t>S1_11_11252025</t>
  </si>
  <si>
    <t>S1_12_11252025</t>
  </si>
  <si>
    <t>S1_13_11252025</t>
  </si>
  <si>
    <t>S1_14_11252025</t>
  </si>
  <si>
    <t>S1_15_11252025</t>
  </si>
  <si>
    <t>S1_17_11252025</t>
  </si>
  <si>
    <t>B1_1124_11252025</t>
  </si>
  <si>
    <t>EB_PCE_11252025</t>
  </si>
  <si>
    <t>EB_PC1_11252025</t>
  </si>
  <si>
    <t>S2_1_11252025</t>
  </si>
  <si>
    <t>Cal 1</t>
  </si>
  <si>
    <t>Avg Blank</t>
  </si>
  <si>
    <t>Std Dev Blank</t>
  </si>
  <si>
    <t>Higher than lowest cal</t>
  </si>
  <si>
    <t>Between lowest cal and avg of blanks (J)</t>
  </si>
  <si>
    <t>Lower than blanks</t>
  </si>
  <si>
    <t>Sample_Name</t>
  </si>
  <si>
    <t>Sample Name</t>
  </si>
  <si>
    <t>Type</t>
  </si>
  <si>
    <t>Stream</t>
  </si>
  <si>
    <t>Precip</t>
  </si>
  <si>
    <t>Compound</t>
  </si>
  <si>
    <t>SE14_1P</t>
  </si>
  <si>
    <t>SE12_5</t>
  </si>
  <si>
    <t>SE12_7</t>
  </si>
  <si>
    <t>SE12_9</t>
  </si>
  <si>
    <t>SE13_3</t>
  </si>
  <si>
    <t>SE13_5</t>
  </si>
  <si>
    <t>SE13_7</t>
  </si>
  <si>
    <t>BF_WET_UP</t>
  </si>
  <si>
    <t>BF_WET_1</t>
  </si>
  <si>
    <t>11Cl-PF3OUdS</t>
  </si>
  <si>
    <t>N.D</t>
  </si>
  <si>
    <t>0.0127J</t>
  </si>
  <si>
    <t>0.012J</t>
  </si>
  <si>
    <t>3-3 FTCA</t>
  </si>
  <si>
    <t>0.913J</t>
  </si>
  <si>
    <t>1.26J</t>
  </si>
  <si>
    <t>0.992J</t>
  </si>
  <si>
    <t>0.788J</t>
  </si>
  <si>
    <t>4:2FTS</t>
  </si>
  <si>
    <t>0.076J</t>
  </si>
  <si>
    <t>0.0678J</t>
  </si>
  <si>
    <t>0.0573J</t>
  </si>
  <si>
    <t>0.0662J</t>
  </si>
  <si>
    <t>0.062J</t>
  </si>
  <si>
    <t>0.104J</t>
  </si>
  <si>
    <t>0.0709J</t>
  </si>
  <si>
    <t>5-3 FTCA</t>
  </si>
  <si>
    <t>0.493J</t>
  </si>
  <si>
    <t>0.331J</t>
  </si>
  <si>
    <t>0.243J</t>
  </si>
  <si>
    <t>0.448J</t>
  </si>
  <si>
    <t>0.463J</t>
  </si>
  <si>
    <t>0.172J</t>
  </si>
  <si>
    <t>0.207J</t>
  </si>
  <si>
    <t>0.272J</t>
  </si>
  <si>
    <t>6:2FTS</t>
  </si>
  <si>
    <t>1.84J</t>
  </si>
  <si>
    <t>1.21J</t>
  </si>
  <si>
    <t>1.37J</t>
  </si>
  <si>
    <t>3.9J</t>
  </si>
  <si>
    <t>7-3 FTCA</t>
  </si>
  <si>
    <t>0.436J</t>
  </si>
  <si>
    <t>0.427J</t>
  </si>
  <si>
    <t>1.02J</t>
  </si>
  <si>
    <t>0.824J</t>
  </si>
  <si>
    <t>1.15J</t>
  </si>
  <si>
    <t>8:2FTS</t>
  </si>
  <si>
    <t>0.0243J</t>
  </si>
  <si>
    <t>0.0308J</t>
  </si>
  <si>
    <t>0.0292J</t>
  </si>
  <si>
    <t>0.033J</t>
  </si>
  <si>
    <t>0.0148J</t>
  </si>
  <si>
    <t>0.0561J</t>
  </si>
  <si>
    <t>9Cl-PF3ONS</t>
  </si>
  <si>
    <t>ADONA</t>
  </si>
  <si>
    <t>HFPO-DA</t>
  </si>
  <si>
    <t>NEtFOSA</t>
  </si>
  <si>
    <t>NEtFOSAA</t>
  </si>
  <si>
    <t>0.212J</t>
  </si>
  <si>
    <t>0.181J</t>
  </si>
  <si>
    <t>NEtFOSE</t>
  </si>
  <si>
    <t>0.369J</t>
  </si>
  <si>
    <t>0.271J</t>
  </si>
  <si>
    <t>0.265J</t>
  </si>
  <si>
    <t>0.27J</t>
  </si>
  <si>
    <t>0.273J</t>
  </si>
  <si>
    <t>0.283J</t>
  </si>
  <si>
    <t>0.354J</t>
  </si>
  <si>
    <t>0.311J</t>
  </si>
  <si>
    <t>NFDHA</t>
  </si>
  <si>
    <t>NMeFOSA</t>
  </si>
  <si>
    <t>0.154J</t>
  </si>
  <si>
    <t>0.148J</t>
  </si>
  <si>
    <t>0.165J</t>
  </si>
  <si>
    <t>0.186J</t>
  </si>
  <si>
    <t>0.266J</t>
  </si>
  <si>
    <t>0.194J</t>
  </si>
  <si>
    <t>NMeFOSAA</t>
  </si>
  <si>
    <t>0.166J</t>
  </si>
  <si>
    <t>0.119J</t>
  </si>
  <si>
    <t>0.0801J</t>
  </si>
  <si>
    <t>0.139J</t>
  </si>
  <si>
    <t>0.176J</t>
  </si>
  <si>
    <t>0.108J</t>
  </si>
  <si>
    <t>0.0667J</t>
  </si>
  <si>
    <t>NMeFOSE</t>
  </si>
  <si>
    <t>0.323J</t>
  </si>
  <si>
    <t>0.285J</t>
  </si>
  <si>
    <t>0.253J</t>
  </si>
  <si>
    <t>0.258J</t>
  </si>
  <si>
    <t>0.339J</t>
  </si>
  <si>
    <t>0.342J</t>
  </si>
  <si>
    <t>PFBA</t>
  </si>
  <si>
    <t>4.83J</t>
  </si>
  <si>
    <t>4.49J</t>
  </si>
  <si>
    <t>3.03J</t>
  </si>
  <si>
    <t>2.66J</t>
  </si>
  <si>
    <t>4.34J</t>
  </si>
  <si>
    <t>4.08J</t>
  </si>
  <si>
    <t>3.15J</t>
  </si>
  <si>
    <t>2.43J</t>
  </si>
  <si>
    <t>PFBS</t>
  </si>
  <si>
    <t>0.0635J</t>
  </si>
  <si>
    <t>1.64J</t>
  </si>
  <si>
    <t>1.48J</t>
  </si>
  <si>
    <t>1.56J</t>
  </si>
  <si>
    <t>PFDA</t>
  </si>
  <si>
    <t>0.132J</t>
  </si>
  <si>
    <t>0.469J</t>
  </si>
  <si>
    <t>0.122J</t>
  </si>
  <si>
    <t>0.189J</t>
  </si>
  <si>
    <t>0.442J</t>
  </si>
  <si>
    <t>0.292J</t>
  </si>
  <si>
    <t>0.191J</t>
  </si>
  <si>
    <t>0.127J</t>
  </si>
  <si>
    <t>PFDoA</t>
  </si>
  <si>
    <t>0.0932J</t>
  </si>
  <si>
    <t>0.158J</t>
  </si>
  <si>
    <t>0.0606J</t>
  </si>
  <si>
    <t>0.103J</t>
  </si>
  <si>
    <t>0.126J</t>
  </si>
  <si>
    <t>0.066J</t>
  </si>
  <si>
    <t>PFDoS</t>
  </si>
  <si>
    <t>0.019J</t>
  </si>
  <si>
    <t>0.024J</t>
  </si>
  <si>
    <t>PFDS</t>
  </si>
  <si>
    <t>0.0464J</t>
  </si>
  <si>
    <t>0.0411J</t>
  </si>
  <si>
    <t>0.042J</t>
  </si>
  <si>
    <t>0.0514J</t>
  </si>
  <si>
    <t>0.02J</t>
  </si>
  <si>
    <t>0.00847J</t>
  </si>
  <si>
    <t>PFEESA</t>
  </si>
  <si>
    <t>0.00717J</t>
  </si>
  <si>
    <t>0.00844J</t>
  </si>
  <si>
    <t>0.0103J</t>
  </si>
  <si>
    <t>0.0073J</t>
  </si>
  <si>
    <t>0.006J</t>
  </si>
  <si>
    <t>0.0158J</t>
  </si>
  <si>
    <t>0J</t>
  </si>
  <si>
    <t>0.00529J</t>
  </si>
  <si>
    <t>PFHpA</t>
  </si>
  <si>
    <t>0.706J</t>
  </si>
  <si>
    <t>PFHpS</t>
  </si>
  <si>
    <t>0.0277J</t>
  </si>
  <si>
    <t>0.0728J</t>
  </si>
  <si>
    <t>0.0832J</t>
  </si>
  <si>
    <t>0.1J</t>
  </si>
  <si>
    <t>0.198J</t>
  </si>
  <si>
    <t>PFHxA</t>
  </si>
  <si>
    <t>0.674J</t>
  </si>
  <si>
    <t>PFHxS</t>
  </si>
  <si>
    <t>0.979J</t>
  </si>
  <si>
    <t>0.923J</t>
  </si>
  <si>
    <t>1.09J</t>
  </si>
  <si>
    <t>1.34J</t>
  </si>
  <si>
    <t>1.04J</t>
  </si>
  <si>
    <t>0.927J</t>
  </si>
  <si>
    <t>PFMBA</t>
  </si>
  <si>
    <t>0.0154J</t>
  </si>
  <si>
    <t>0.015J</t>
  </si>
  <si>
    <t>0.0168J</t>
  </si>
  <si>
    <t>0.023J</t>
  </si>
  <si>
    <t>PFMPA</t>
  </si>
  <si>
    <t>0.0584J</t>
  </si>
  <si>
    <t>0.0749J</t>
  </si>
  <si>
    <t>0.0448J</t>
  </si>
  <si>
    <t>0.071J</t>
  </si>
  <si>
    <t>0.0553J</t>
  </si>
  <si>
    <t>0.059J</t>
  </si>
  <si>
    <t>0.0434J</t>
  </si>
  <si>
    <t>PFNA</t>
  </si>
  <si>
    <t>0.653J</t>
  </si>
  <si>
    <t>1.25J</t>
  </si>
  <si>
    <t>0.683J</t>
  </si>
  <si>
    <t>0.707J</t>
  </si>
  <si>
    <t>1.36J</t>
  </si>
  <si>
    <t>1.16J</t>
  </si>
  <si>
    <t>1.07J</t>
  </si>
  <si>
    <t>0.606J</t>
  </si>
  <si>
    <t>PFNS</t>
  </si>
  <si>
    <t>0.0327J</t>
  </si>
  <si>
    <t>0.0281J</t>
  </si>
  <si>
    <t>0.032J</t>
  </si>
  <si>
    <t>0.0405J</t>
  </si>
  <si>
    <t>0.036J</t>
  </si>
  <si>
    <t>PFOA</t>
  </si>
  <si>
    <t>0.678J</t>
  </si>
  <si>
    <t>PFOS</t>
  </si>
  <si>
    <t>0.534J</t>
  </si>
  <si>
    <t>2.02J</t>
  </si>
  <si>
    <t>PFOSA</t>
  </si>
  <si>
    <t>0.221J</t>
  </si>
  <si>
    <t>0.909J</t>
  </si>
  <si>
    <t>0.446J</t>
  </si>
  <si>
    <t>0.236J</t>
  </si>
  <si>
    <t>1.03J</t>
  </si>
  <si>
    <t>0.468J</t>
  </si>
  <si>
    <t>0.597J</t>
  </si>
  <si>
    <t>0.125J</t>
  </si>
  <si>
    <t>PFPeA</t>
  </si>
  <si>
    <t>0.669J</t>
  </si>
  <si>
    <t>3.32J</t>
  </si>
  <si>
    <t>3.3J</t>
  </si>
  <si>
    <t>PFPeS</t>
  </si>
  <si>
    <t>0.0543J</t>
  </si>
  <si>
    <t>0.155J</t>
  </si>
  <si>
    <t>0.153J</t>
  </si>
  <si>
    <t>0.171J</t>
  </si>
  <si>
    <t>0.241J</t>
  </si>
  <si>
    <t>0.168J</t>
  </si>
  <si>
    <t>0.144J</t>
  </si>
  <si>
    <t>0.138J</t>
  </si>
  <si>
    <t>PFTeDA</t>
  </si>
  <si>
    <t>0.038J</t>
  </si>
  <si>
    <t>0.0386J</t>
  </si>
  <si>
    <t>0.046J</t>
  </si>
  <si>
    <t>PFTrDA</t>
  </si>
  <si>
    <t>0.115J</t>
  </si>
  <si>
    <t>0.072J</t>
  </si>
  <si>
    <t>0.0692J</t>
  </si>
  <si>
    <t>0.105J</t>
  </si>
  <si>
    <t>PFUnA</t>
  </si>
  <si>
    <t>0.0696J</t>
  </si>
  <si>
    <t>0.121J</t>
  </si>
  <si>
    <t>0.245J</t>
  </si>
  <si>
    <t>0.12J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</si>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</sst>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&quot;Aptos Narrow&quot;"/>
    </font>
    <font>
      <sz val="11"/>
      <color rgb="FF9C5700"/>
      <name val="&quot;Aptos Narrow&quot;"/>
    </font>
    <font>
      <sz val="11"/>
      <color rgb="FF006100"/>
      <name val="&quot;Aptos Narrow&quot;"/>
    </font>
    <font>
      <sz val="11"/>
      <color rgb="FF9C0006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1" fillId="0" borderId="0" xfId="0" applyNumberFormat="1" applyFont="1"/>
    <xf numFmtId="18" fontId="1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2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6" fillId="4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19" fontId="3" fillId="0" borderId="0" xfId="0" applyNumberFormat="1" applyFont="1"/>
    <xf numFmtId="18" fontId="3" fillId="0" borderId="0" xfId="0" applyNumberFormat="1" applyFont="1"/>
    <xf numFmtId="164" fontId="3" fillId="0" borderId="0" xfId="0" applyNumberFormat="1" applyFont="1"/>
    <xf numFmtId="0" fontId="5" fillId="3" borderId="0" xfId="0" applyFont="1" applyFill="1"/>
    <xf numFmtId="0" fontId="0" fillId="0" borderId="0" xfId="0"/>
    <xf numFmtId="0" fontId="4" fillId="2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3DB3-430F-4955-A4AB-8801125F2E5E}">
  <dimension ref="A1:AS20"/>
  <sheetViews>
    <sheetView tabSelected="1" topLeftCell="F1" workbookViewId="0">
      <selection activeCell="A4" sqref="A4:XFD4"/>
    </sheetView>
  </sheetViews>
  <sheetFormatPr defaultRowHeight="12.5"/>
  <cols>
    <col min="3" max="3" width="12.26953125" customWidth="1"/>
    <col min="4" max="4" width="12.1796875" customWidth="1"/>
    <col min="5" max="5" width="18.453125" customWidth="1"/>
  </cols>
  <sheetData>
    <row r="1" spans="1:45" ht="14">
      <c r="A1" s="5" t="s">
        <v>157</v>
      </c>
      <c r="B1" s="5" t="s">
        <v>158</v>
      </c>
      <c r="C1" s="5" t="s">
        <v>1</v>
      </c>
      <c r="D1" s="5" t="s">
        <v>2</v>
      </c>
      <c r="E1" s="5" t="s">
        <v>389</v>
      </c>
      <c r="F1" s="5" t="s">
        <v>62</v>
      </c>
      <c r="G1" s="5" t="s">
        <v>63</v>
      </c>
      <c r="H1" s="5" t="s">
        <v>64</v>
      </c>
      <c r="I1" s="5" t="s">
        <v>65</v>
      </c>
      <c r="J1" s="5" t="s">
        <v>66</v>
      </c>
      <c r="K1" s="5" t="s">
        <v>67</v>
      </c>
      <c r="L1" s="5" t="s">
        <v>68</v>
      </c>
      <c r="M1" s="5" t="s">
        <v>69</v>
      </c>
      <c r="N1" s="5" t="s">
        <v>70</v>
      </c>
      <c r="O1" s="5" t="s">
        <v>71</v>
      </c>
      <c r="P1" s="5" t="s">
        <v>72</v>
      </c>
      <c r="Q1" s="5" t="s">
        <v>73</v>
      </c>
      <c r="R1" s="5" t="s">
        <v>74</v>
      </c>
      <c r="S1" s="5" t="s">
        <v>75</v>
      </c>
      <c r="T1" s="5" t="s">
        <v>76</v>
      </c>
      <c r="U1" s="5" t="s">
        <v>77</v>
      </c>
      <c r="V1" s="5" t="s">
        <v>78</v>
      </c>
      <c r="W1" s="5" t="s">
        <v>79</v>
      </c>
      <c r="X1" s="5" t="s">
        <v>80</v>
      </c>
      <c r="Y1" s="5" t="s">
        <v>81</v>
      </c>
      <c r="Z1" s="5" t="s">
        <v>82</v>
      </c>
      <c r="AA1" s="5" t="s">
        <v>83</v>
      </c>
      <c r="AB1" s="5" t="s">
        <v>84</v>
      </c>
      <c r="AC1" s="5" t="s">
        <v>85</v>
      </c>
      <c r="AD1" s="5" t="s">
        <v>86</v>
      </c>
      <c r="AE1" s="5" t="s">
        <v>87</v>
      </c>
      <c r="AF1" s="5" t="s">
        <v>88</v>
      </c>
      <c r="AG1" s="5" t="s">
        <v>89</v>
      </c>
      <c r="AH1" s="5" t="s">
        <v>90</v>
      </c>
      <c r="AI1" s="5" t="s">
        <v>91</v>
      </c>
      <c r="AJ1" s="5" t="s">
        <v>92</v>
      </c>
      <c r="AK1" s="5" t="s">
        <v>93</v>
      </c>
      <c r="AL1" s="5" t="s">
        <v>94</v>
      </c>
      <c r="AM1" s="5" t="s">
        <v>95</v>
      </c>
      <c r="AN1" s="5" t="s">
        <v>96</v>
      </c>
      <c r="AO1" s="5" t="s">
        <v>97</v>
      </c>
      <c r="AP1" s="5" t="s">
        <v>98</v>
      </c>
      <c r="AQ1" s="5" t="s">
        <v>99</v>
      </c>
      <c r="AR1" s="5" t="s">
        <v>100</v>
      </c>
      <c r="AS1" s="5" t="s">
        <v>101</v>
      </c>
    </row>
    <row r="2" spans="1:45" ht="14">
      <c r="A2" s="5" t="s">
        <v>103</v>
      </c>
      <c r="B2" s="5" t="s">
        <v>159</v>
      </c>
      <c r="C2" s="10">
        <v>45852</v>
      </c>
      <c r="D2" s="11">
        <v>0.70833333333333337</v>
      </c>
      <c r="E2" s="13">
        <f>C2+D2</f>
        <v>45852.708333333336</v>
      </c>
      <c r="F2" s="6">
        <v>3.7970000000000002</v>
      </c>
      <c r="G2" s="6">
        <v>1.4999999999999999E-2</v>
      </c>
      <c r="H2" s="6">
        <v>0.372</v>
      </c>
      <c r="I2" s="7">
        <v>4.556</v>
      </c>
      <c r="J2" s="8">
        <v>8.0000000000000002E-3</v>
      </c>
      <c r="K2" s="6">
        <v>4.2999999999999997E-2</v>
      </c>
      <c r="L2" s="6">
        <v>6.4000000000000001E-2</v>
      </c>
      <c r="M2" s="7">
        <v>5.032</v>
      </c>
      <c r="N2" s="7">
        <v>1.77</v>
      </c>
      <c r="O2" s="6">
        <v>0.16400000000000001</v>
      </c>
      <c r="P2" s="6">
        <v>1.2999999999999999E-2</v>
      </c>
      <c r="Q2" s="6">
        <v>0.55800000000000005</v>
      </c>
      <c r="R2" s="7">
        <v>2.3740000000000001</v>
      </c>
      <c r="S2" s="6">
        <v>7.6999999999999999E-2</v>
      </c>
      <c r="T2" s="6">
        <v>8.0000000000000002E-3</v>
      </c>
      <c r="U2" s="6">
        <v>0.14799999999999999</v>
      </c>
      <c r="V2" s="7">
        <v>5.3680000000000003</v>
      </c>
      <c r="W2" s="6">
        <v>1.0129999999999999</v>
      </c>
      <c r="X2" s="6">
        <v>1.524</v>
      </c>
      <c r="Y2" s="6">
        <v>8.5000000000000006E-2</v>
      </c>
      <c r="Z2" s="6">
        <v>0.42199999999999999</v>
      </c>
      <c r="AA2" s="6">
        <v>7.2999999999999995E-2</v>
      </c>
      <c r="AB2" s="6">
        <v>0.47399999999999998</v>
      </c>
      <c r="AC2" s="7">
        <v>3.8039999999999998</v>
      </c>
      <c r="AD2" s="8">
        <v>0.125</v>
      </c>
      <c r="AE2" s="6">
        <v>0.19</v>
      </c>
      <c r="AF2" s="6">
        <v>0.24099999999999999</v>
      </c>
      <c r="AG2" s="8">
        <v>1.0999999999999999E-2</v>
      </c>
      <c r="AH2" s="6">
        <v>2.4E-2</v>
      </c>
      <c r="AI2" s="6">
        <v>0.154</v>
      </c>
      <c r="AJ2" s="6">
        <v>0.04</v>
      </c>
      <c r="AK2" s="6">
        <v>4.9000000000000002E-2</v>
      </c>
      <c r="AL2" s="6">
        <v>1.4999999999999999E-2</v>
      </c>
      <c r="AM2" s="6">
        <v>6.5000000000000002E-2</v>
      </c>
      <c r="AN2" s="6">
        <v>2.7E-2</v>
      </c>
      <c r="AO2" s="6">
        <v>1.5980000000000001</v>
      </c>
      <c r="AP2" s="6">
        <v>0.59899999999999998</v>
      </c>
      <c r="AQ2" s="6">
        <v>0.27800000000000002</v>
      </c>
      <c r="AR2" s="6">
        <v>0.61199999999999999</v>
      </c>
      <c r="AS2" s="6">
        <v>0.249</v>
      </c>
    </row>
    <row r="3" spans="1:45" ht="14">
      <c r="A3" s="5" t="s">
        <v>104</v>
      </c>
      <c r="B3" s="5" t="s">
        <v>159</v>
      </c>
      <c r="C3" s="10">
        <v>45854</v>
      </c>
      <c r="D3" s="11">
        <v>0.20833333333333334</v>
      </c>
      <c r="E3" s="13">
        <f>C3+D3</f>
        <v>45854.208333333336</v>
      </c>
      <c r="F3" s="6">
        <v>2.4969999999999999</v>
      </c>
      <c r="G3" s="6">
        <v>1.6E-2</v>
      </c>
      <c r="H3" s="6">
        <v>0.63900000000000001</v>
      </c>
      <c r="I3" s="6">
        <v>2.827</v>
      </c>
      <c r="J3" s="8">
        <v>7.0000000000000001E-3</v>
      </c>
      <c r="K3" s="6">
        <v>7.8E-2</v>
      </c>
      <c r="L3" s="6">
        <v>8.1000000000000003E-2</v>
      </c>
      <c r="M3" s="7">
        <v>3.3820000000000001</v>
      </c>
      <c r="N3" s="6">
        <v>1.395</v>
      </c>
      <c r="O3" s="6">
        <v>6.8000000000000005E-2</v>
      </c>
      <c r="P3" s="6">
        <v>0.01</v>
      </c>
      <c r="Q3" s="6">
        <v>0.20599999999999999</v>
      </c>
      <c r="R3" s="7">
        <v>1.843</v>
      </c>
      <c r="S3" s="6">
        <v>0.14699999999999999</v>
      </c>
      <c r="T3" s="8">
        <v>0</v>
      </c>
      <c r="U3" s="6">
        <v>0.151</v>
      </c>
      <c r="V3" s="7">
        <v>3.3660000000000001</v>
      </c>
      <c r="W3" s="6">
        <v>0.86499999999999999</v>
      </c>
      <c r="X3" s="6">
        <v>0.90200000000000002</v>
      </c>
      <c r="Y3" s="6">
        <v>5.8999999999999997E-2</v>
      </c>
      <c r="Z3" s="6">
        <v>0.76</v>
      </c>
      <c r="AA3" s="8">
        <v>1.0999999999999999E-2</v>
      </c>
      <c r="AB3" s="6">
        <v>0.13100000000000001</v>
      </c>
      <c r="AC3" s="6">
        <v>2.069</v>
      </c>
      <c r="AD3" s="6">
        <v>0.19700000000000001</v>
      </c>
      <c r="AE3" s="8">
        <v>1.4E-2</v>
      </c>
      <c r="AF3" s="6">
        <v>0.188</v>
      </c>
      <c r="AG3" s="6">
        <v>2.1999999999999999E-2</v>
      </c>
      <c r="AH3" s="8">
        <v>6.0000000000000001E-3</v>
      </c>
      <c r="AI3" s="6">
        <v>4.2999999999999997E-2</v>
      </c>
      <c r="AJ3" s="8">
        <v>6.0000000000000001E-3</v>
      </c>
      <c r="AK3" s="6">
        <v>5.6000000000000001E-2</v>
      </c>
      <c r="AL3" s="6">
        <v>1.0999999999999999E-2</v>
      </c>
      <c r="AM3" s="6">
        <v>5.7000000000000002E-2</v>
      </c>
      <c r="AN3" s="6">
        <v>3.2000000000000001E-2</v>
      </c>
      <c r="AO3" s="6">
        <v>0.65</v>
      </c>
      <c r="AP3" s="6">
        <v>0.39400000000000002</v>
      </c>
      <c r="AQ3" s="6">
        <v>0.23400000000000001</v>
      </c>
      <c r="AR3" s="6">
        <v>0.437</v>
      </c>
      <c r="AS3" s="6">
        <v>0.223</v>
      </c>
    </row>
    <row r="4" spans="1:45" ht="14">
      <c r="A4" s="5" t="s">
        <v>105</v>
      </c>
      <c r="B4" s="5" t="s">
        <v>160</v>
      </c>
      <c r="C4" s="10">
        <v>45852</v>
      </c>
      <c r="D4" s="11">
        <v>0.99930555555555556</v>
      </c>
      <c r="E4" s="13">
        <f t="shared" ref="E4:E19" si="0">C4+D4</f>
        <v>45852.999305555553</v>
      </c>
      <c r="F4" s="6">
        <v>0.90300000000000002</v>
      </c>
      <c r="G4" s="6">
        <v>0.66100000000000003</v>
      </c>
      <c r="H4" s="6">
        <v>0.29599999999999999</v>
      </c>
      <c r="I4" s="6">
        <v>0.47399999999999998</v>
      </c>
      <c r="J4" s="6">
        <v>1.0999999999999999E-2</v>
      </c>
      <c r="K4" s="8">
        <v>2.9000000000000001E-2</v>
      </c>
      <c r="L4" s="6">
        <v>6.5000000000000002E-2</v>
      </c>
      <c r="M4" s="6">
        <v>0.68200000000000005</v>
      </c>
      <c r="N4" s="6">
        <v>5.7000000000000002E-2</v>
      </c>
      <c r="O4" s="6">
        <v>0.39</v>
      </c>
      <c r="P4" s="6">
        <v>3.0000000000000001E-3</v>
      </c>
      <c r="Q4" s="6">
        <v>0.498</v>
      </c>
      <c r="R4" s="6">
        <v>0.432</v>
      </c>
      <c r="S4" s="6">
        <v>3.4000000000000002E-2</v>
      </c>
      <c r="T4" s="8">
        <v>4.0000000000000001E-3</v>
      </c>
      <c r="U4" s="6">
        <v>7.0999999999999994E-2</v>
      </c>
      <c r="V4" s="6">
        <v>0.70399999999999996</v>
      </c>
      <c r="W4" s="6">
        <v>0.26900000000000002</v>
      </c>
      <c r="X4" s="8">
        <v>0.223</v>
      </c>
      <c r="Y4" s="8">
        <v>4.0000000000000001E-3</v>
      </c>
      <c r="Z4" s="6">
        <v>0.27200000000000002</v>
      </c>
      <c r="AA4" s="8">
        <v>8.9999999999999993E-3</v>
      </c>
      <c r="AB4" s="6">
        <v>8.5000000000000006E-2</v>
      </c>
      <c r="AC4" s="6">
        <v>0.39300000000000002</v>
      </c>
      <c r="AD4" s="8">
        <v>0.11600000000000001</v>
      </c>
      <c r="AE4" s="6">
        <v>6.8000000000000005E-2</v>
      </c>
      <c r="AF4" s="8">
        <v>8.1000000000000003E-2</v>
      </c>
      <c r="AG4" s="8">
        <v>2E-3</v>
      </c>
      <c r="AH4" s="8">
        <v>7.0000000000000001E-3</v>
      </c>
      <c r="AI4" s="6">
        <v>0.185</v>
      </c>
      <c r="AJ4" s="6">
        <v>0.01</v>
      </c>
      <c r="AK4" s="6">
        <v>0.224</v>
      </c>
      <c r="AL4" s="6">
        <v>6.0000000000000001E-3</v>
      </c>
      <c r="AM4" s="6">
        <v>0.13700000000000001</v>
      </c>
      <c r="AN4" s="6">
        <v>1.0999999999999999E-2</v>
      </c>
      <c r="AO4" s="6">
        <v>0.14199999999999999</v>
      </c>
      <c r="AP4" s="6">
        <v>0.20300000000000001</v>
      </c>
      <c r="AQ4" s="8">
        <v>0.11</v>
      </c>
      <c r="AR4" s="6">
        <v>0.23</v>
      </c>
      <c r="AS4" s="8">
        <v>9.7000000000000003E-2</v>
      </c>
    </row>
    <row r="5" spans="1:45" ht="14">
      <c r="A5" s="5" t="s">
        <v>131</v>
      </c>
      <c r="B5" s="5" t="s">
        <v>159</v>
      </c>
      <c r="C5" s="10">
        <v>45940</v>
      </c>
      <c r="D5" s="12">
        <v>0.36041666666666666</v>
      </c>
      <c r="E5" s="13">
        <f t="shared" si="0"/>
        <v>45940.36041666667</v>
      </c>
      <c r="F5" s="6">
        <v>2.3519999999999999</v>
      </c>
      <c r="G5" s="6">
        <v>8.0000000000000002E-3</v>
      </c>
      <c r="H5" s="6">
        <v>0.112</v>
      </c>
      <c r="I5" s="6">
        <v>3.7440000000000002</v>
      </c>
      <c r="J5" s="8">
        <v>7.0000000000000001E-3</v>
      </c>
      <c r="K5" s="6">
        <v>0.09</v>
      </c>
      <c r="L5" s="8">
        <v>4.8000000000000001E-2</v>
      </c>
      <c r="M5" s="7">
        <v>4.2699999999999996</v>
      </c>
      <c r="N5" s="6">
        <v>1.5649999999999999</v>
      </c>
      <c r="O5" s="8">
        <v>1.4999999999999999E-2</v>
      </c>
      <c r="P5" s="6">
        <v>8.0000000000000002E-3</v>
      </c>
      <c r="Q5" s="6">
        <v>0.48199999999999998</v>
      </c>
      <c r="R5" s="6">
        <v>1.6639999999999999</v>
      </c>
      <c r="S5" s="6">
        <v>0.19600000000000001</v>
      </c>
      <c r="T5" s="8">
        <v>2E-3</v>
      </c>
      <c r="U5" s="6">
        <v>2.57</v>
      </c>
      <c r="V5" s="7">
        <v>3.641</v>
      </c>
      <c r="W5" s="6">
        <v>1.0569999999999999</v>
      </c>
      <c r="X5" s="6">
        <v>0.73599999999999999</v>
      </c>
      <c r="Y5" s="6">
        <v>6.9000000000000006E-2</v>
      </c>
      <c r="Z5" s="8">
        <v>0.19900000000000001</v>
      </c>
      <c r="AA5" s="6">
        <v>4.5999999999999999E-2</v>
      </c>
      <c r="AB5" s="6">
        <v>6.7000000000000004E-2</v>
      </c>
      <c r="AC5" s="6">
        <v>1.841</v>
      </c>
      <c r="AD5" s="8">
        <v>0.113</v>
      </c>
      <c r="AE5" s="6">
        <v>6.3E-2</v>
      </c>
      <c r="AF5" s="8">
        <v>0.14099999999999999</v>
      </c>
      <c r="AG5" s="6">
        <v>1.4999999999999999E-2</v>
      </c>
      <c r="AH5" s="6">
        <v>2.7E-2</v>
      </c>
      <c r="AI5" s="6">
        <v>0.04</v>
      </c>
      <c r="AJ5" s="6">
        <v>1.9E-2</v>
      </c>
      <c r="AK5" s="6">
        <v>4.3999999999999997E-2</v>
      </c>
      <c r="AL5" s="8">
        <v>1E-3</v>
      </c>
      <c r="AM5" s="6">
        <v>0.10100000000000001</v>
      </c>
      <c r="AN5" s="8">
        <v>0</v>
      </c>
      <c r="AO5" s="6">
        <v>0.184</v>
      </c>
      <c r="AP5" s="6">
        <v>0.192</v>
      </c>
      <c r="AQ5" s="6">
        <v>0.17499999999999999</v>
      </c>
      <c r="AR5" s="6">
        <v>0.29599999999999999</v>
      </c>
      <c r="AS5" s="6">
        <v>0.192</v>
      </c>
    </row>
    <row r="6" spans="1:45" ht="14">
      <c r="A6" s="5" t="s">
        <v>119</v>
      </c>
      <c r="B6" s="5" t="s">
        <v>159</v>
      </c>
      <c r="C6" s="10">
        <v>45941</v>
      </c>
      <c r="D6" s="3">
        <v>0.37013888888888891</v>
      </c>
      <c r="E6" s="13">
        <f t="shared" si="0"/>
        <v>45941.370138888888</v>
      </c>
      <c r="F6" s="6">
        <v>2.544</v>
      </c>
      <c r="G6" s="6">
        <v>0.01</v>
      </c>
      <c r="H6" s="8">
        <v>1.7000000000000001E-2</v>
      </c>
      <c r="I6" s="7">
        <v>4.335</v>
      </c>
      <c r="J6" s="8">
        <v>8.0000000000000002E-3</v>
      </c>
      <c r="K6" s="6">
        <v>0.14899999999999999</v>
      </c>
      <c r="L6" s="6">
        <v>6.8000000000000005E-2</v>
      </c>
      <c r="M6" s="7">
        <v>4.88</v>
      </c>
      <c r="N6" s="6">
        <v>1.6279999999999999</v>
      </c>
      <c r="O6" s="6">
        <v>6.8000000000000005E-2</v>
      </c>
      <c r="P6" s="6">
        <v>6.0000000000000001E-3</v>
      </c>
      <c r="Q6" s="6">
        <v>0.79800000000000004</v>
      </c>
      <c r="R6" s="7">
        <v>2.1179999999999999</v>
      </c>
      <c r="S6" s="6">
        <v>0.157</v>
      </c>
      <c r="T6" s="8">
        <v>3.0000000000000001E-3</v>
      </c>
      <c r="U6" s="6">
        <v>2.3090000000000002</v>
      </c>
      <c r="V6" s="7">
        <v>4.6639999999999997</v>
      </c>
      <c r="W6" s="6">
        <v>1.081</v>
      </c>
      <c r="X6" s="6">
        <v>1.0469999999999999</v>
      </c>
      <c r="Y6" s="6">
        <v>9.2999999999999999E-2</v>
      </c>
      <c r="Z6" s="8">
        <v>0.14199999999999999</v>
      </c>
      <c r="AA6" s="6">
        <v>0.02</v>
      </c>
      <c r="AB6" s="6">
        <v>9.5000000000000001E-2</v>
      </c>
      <c r="AC6" s="6">
        <v>2.09</v>
      </c>
      <c r="AD6" s="8">
        <v>0.1</v>
      </c>
      <c r="AE6" s="8">
        <v>1.9E-2</v>
      </c>
      <c r="AF6" s="8">
        <v>0.13100000000000001</v>
      </c>
      <c r="AG6" s="8">
        <v>0.01</v>
      </c>
      <c r="AH6" s="6">
        <v>1.4999999999999999E-2</v>
      </c>
      <c r="AI6" s="6">
        <v>9.5000000000000001E-2</v>
      </c>
      <c r="AJ6" s="6">
        <v>0.01</v>
      </c>
      <c r="AK6" s="6">
        <v>4.4999999999999998E-2</v>
      </c>
      <c r="AL6" s="6">
        <v>1.2999999999999999E-2</v>
      </c>
      <c r="AM6" s="6">
        <v>3.5999999999999997E-2</v>
      </c>
      <c r="AN6" s="8">
        <v>2E-3</v>
      </c>
      <c r="AO6" s="6">
        <v>0.32100000000000001</v>
      </c>
      <c r="AP6" s="6">
        <v>0.193</v>
      </c>
      <c r="AQ6" s="6">
        <v>0.16400000000000001</v>
      </c>
      <c r="AR6" s="6">
        <v>0.20599999999999999</v>
      </c>
      <c r="AS6" s="6">
        <v>0.17199999999999999</v>
      </c>
    </row>
    <row r="7" spans="1:45" ht="14">
      <c r="A7" s="5" t="s">
        <v>107</v>
      </c>
      <c r="B7" s="5" t="s">
        <v>159</v>
      </c>
      <c r="C7" s="10">
        <v>45942</v>
      </c>
      <c r="D7" s="12">
        <v>0.51041666666666663</v>
      </c>
      <c r="E7" s="13">
        <f t="shared" si="0"/>
        <v>45942.510416666664</v>
      </c>
      <c r="F7" s="6">
        <v>2.3650000000000002</v>
      </c>
      <c r="G7" s="6">
        <v>1.2999999999999999E-2</v>
      </c>
      <c r="H7" s="6">
        <v>0.14699999999999999</v>
      </c>
      <c r="I7" s="6">
        <v>3.867</v>
      </c>
      <c r="J7" s="8">
        <v>6.0000000000000001E-3</v>
      </c>
      <c r="K7" s="6">
        <v>9.2999999999999999E-2</v>
      </c>
      <c r="L7" s="6">
        <v>7.9000000000000001E-2</v>
      </c>
      <c r="M7" s="7">
        <v>4.3730000000000002</v>
      </c>
      <c r="N7" s="6">
        <v>1.29</v>
      </c>
      <c r="O7" s="8">
        <v>3.4000000000000002E-2</v>
      </c>
      <c r="P7" s="8">
        <v>1E-3</v>
      </c>
      <c r="Q7" s="6">
        <v>0.45500000000000002</v>
      </c>
      <c r="R7" s="7">
        <v>1.9319999999999999</v>
      </c>
      <c r="S7" s="6">
        <v>0.11600000000000001</v>
      </c>
      <c r="T7" s="8">
        <v>0</v>
      </c>
      <c r="U7" s="6">
        <v>2.2530000000000001</v>
      </c>
      <c r="V7" s="7">
        <v>3.8410000000000002</v>
      </c>
      <c r="W7" s="6">
        <v>0.96599999999999997</v>
      </c>
      <c r="X7" s="6">
        <v>1.026</v>
      </c>
      <c r="Y7" s="6">
        <v>3.1E-2</v>
      </c>
      <c r="Z7" s="6">
        <v>0.38</v>
      </c>
      <c r="AA7" s="6">
        <v>5.8000000000000003E-2</v>
      </c>
      <c r="AB7" s="6">
        <v>4.7E-2</v>
      </c>
      <c r="AC7" s="6">
        <v>1.8520000000000001</v>
      </c>
      <c r="AD7" s="8">
        <v>0.113</v>
      </c>
      <c r="AE7" s="8">
        <v>1.6E-2</v>
      </c>
      <c r="AF7" s="8">
        <v>0.113</v>
      </c>
      <c r="AG7" s="8">
        <v>4.0000000000000001E-3</v>
      </c>
      <c r="AH7" s="6">
        <v>1.2E-2</v>
      </c>
      <c r="AI7" s="6">
        <v>0.115</v>
      </c>
      <c r="AJ7" s="6">
        <v>8.0000000000000002E-3</v>
      </c>
      <c r="AK7" s="8">
        <v>2.3E-2</v>
      </c>
      <c r="AL7" s="6">
        <v>2.1999999999999999E-2</v>
      </c>
      <c r="AM7" s="6">
        <v>5.2999999999999999E-2</v>
      </c>
      <c r="AN7" s="8">
        <v>0</v>
      </c>
      <c r="AO7" s="6">
        <v>0.25600000000000001</v>
      </c>
      <c r="AP7" s="6">
        <v>0.20300000000000001</v>
      </c>
      <c r="AQ7" s="8">
        <v>0.123</v>
      </c>
      <c r="AR7" s="6">
        <v>0.21099999999999999</v>
      </c>
      <c r="AS7" s="6">
        <v>0.16400000000000001</v>
      </c>
    </row>
    <row r="8" spans="1:45" ht="14">
      <c r="A8" s="5" t="s">
        <v>108</v>
      </c>
      <c r="B8" s="5" t="s">
        <v>159</v>
      </c>
      <c r="C8" s="10">
        <v>45942</v>
      </c>
      <c r="D8" s="12">
        <v>0.76041666666666663</v>
      </c>
      <c r="E8" s="13">
        <f t="shared" si="0"/>
        <v>45942.760416666664</v>
      </c>
      <c r="F8" s="6">
        <v>2.823</v>
      </c>
      <c r="G8" s="6">
        <v>2.7E-2</v>
      </c>
      <c r="H8" s="6">
        <v>0.251</v>
      </c>
      <c r="I8" s="7">
        <v>4.1029999999999998</v>
      </c>
      <c r="J8" s="8">
        <v>4.0000000000000001E-3</v>
      </c>
      <c r="K8" s="6">
        <v>8.4000000000000005E-2</v>
      </c>
      <c r="L8" s="6">
        <v>7.5999999999999998E-2</v>
      </c>
      <c r="M8" s="7">
        <v>4.931</v>
      </c>
      <c r="N8" s="6">
        <v>1.571</v>
      </c>
      <c r="O8" s="6">
        <v>9.0999999999999998E-2</v>
      </c>
      <c r="P8" s="6">
        <v>1.6E-2</v>
      </c>
      <c r="Q8" s="6">
        <v>1.0649999999999999</v>
      </c>
      <c r="R8" s="7">
        <v>2.1070000000000002</v>
      </c>
      <c r="S8" s="6">
        <v>0.13600000000000001</v>
      </c>
      <c r="T8" s="6">
        <v>0.01</v>
      </c>
      <c r="U8" s="6">
        <v>2.8380000000000001</v>
      </c>
      <c r="V8" s="7">
        <v>4.0709999999999997</v>
      </c>
      <c r="W8" s="6">
        <v>1.0569999999999999</v>
      </c>
      <c r="X8" s="6">
        <v>0.95399999999999996</v>
      </c>
      <c r="Y8" s="6">
        <v>5.6000000000000001E-2</v>
      </c>
      <c r="Z8" s="6">
        <v>0.35799999999999998</v>
      </c>
      <c r="AA8" s="6">
        <v>2.9000000000000001E-2</v>
      </c>
      <c r="AB8" s="6">
        <v>9.8000000000000004E-2</v>
      </c>
      <c r="AC8" s="7">
        <v>2.3159999999999998</v>
      </c>
      <c r="AD8" s="6">
        <v>0.21199999999999999</v>
      </c>
      <c r="AE8" s="6">
        <v>0.03</v>
      </c>
      <c r="AF8" s="6">
        <v>0.248</v>
      </c>
      <c r="AG8" s="8">
        <v>6.0000000000000001E-3</v>
      </c>
      <c r="AH8" s="8">
        <v>5.0000000000000001E-3</v>
      </c>
      <c r="AI8" s="6">
        <v>3.2000000000000001E-2</v>
      </c>
      <c r="AJ8" s="6">
        <v>1.4999999999999999E-2</v>
      </c>
      <c r="AK8" s="8">
        <v>1.7000000000000001E-2</v>
      </c>
      <c r="AL8" s="8">
        <v>5.0000000000000001E-3</v>
      </c>
      <c r="AM8" s="6">
        <v>6.5000000000000002E-2</v>
      </c>
      <c r="AN8" s="6">
        <v>1.7000000000000001E-2</v>
      </c>
      <c r="AO8" s="6">
        <v>0.186</v>
      </c>
      <c r="AP8" s="6">
        <v>0.45100000000000001</v>
      </c>
      <c r="AQ8" s="6">
        <v>0.371</v>
      </c>
      <c r="AR8" s="6">
        <v>0.55800000000000005</v>
      </c>
      <c r="AS8" s="6">
        <v>0.28599999999999998</v>
      </c>
    </row>
    <row r="9" spans="1:45" ht="14">
      <c r="A9" s="5" t="s">
        <v>109</v>
      </c>
      <c r="B9" s="5" t="s">
        <v>159</v>
      </c>
      <c r="C9" s="10">
        <v>45943</v>
      </c>
      <c r="D9" s="12">
        <v>1.0416666666666666E-2</v>
      </c>
      <c r="E9" s="13">
        <f t="shared" si="0"/>
        <v>45943.010416666664</v>
      </c>
      <c r="F9" s="6">
        <v>5.7539999999999996</v>
      </c>
      <c r="G9" s="6">
        <v>2.1999999999999999E-2</v>
      </c>
      <c r="H9" s="6">
        <v>0.65300000000000002</v>
      </c>
      <c r="I9" s="7">
        <v>4.7249999999999996</v>
      </c>
      <c r="J9" s="8">
        <v>0</v>
      </c>
      <c r="K9" s="6">
        <v>7.0999999999999994E-2</v>
      </c>
      <c r="L9" s="6">
        <v>7.0999999999999994E-2</v>
      </c>
      <c r="M9" s="7">
        <v>6.7060000000000004</v>
      </c>
      <c r="N9" s="7">
        <v>1.698</v>
      </c>
      <c r="O9" s="8">
        <v>3.2000000000000001E-2</v>
      </c>
      <c r="P9" s="6">
        <v>7.0000000000000001E-3</v>
      </c>
      <c r="Q9" s="6">
        <v>1.1020000000000001</v>
      </c>
      <c r="R9" s="7">
        <v>2.1989999999999998</v>
      </c>
      <c r="S9" s="6">
        <v>0.16600000000000001</v>
      </c>
      <c r="T9" s="6">
        <v>1.4999999999999999E-2</v>
      </c>
      <c r="U9" s="6">
        <v>2.8370000000000002</v>
      </c>
      <c r="V9" s="7">
        <v>4.3070000000000004</v>
      </c>
      <c r="W9" s="6">
        <v>1.514</v>
      </c>
      <c r="X9" s="6">
        <v>1.446</v>
      </c>
      <c r="Y9" s="6">
        <v>4.5999999999999999E-2</v>
      </c>
      <c r="Z9" s="6">
        <v>1.069</v>
      </c>
      <c r="AA9" s="8">
        <v>1.7000000000000001E-2</v>
      </c>
      <c r="AB9" s="6">
        <v>0.34799999999999998</v>
      </c>
      <c r="AC9" s="7">
        <v>2.9990000000000001</v>
      </c>
      <c r="AD9" s="8">
        <v>0.12</v>
      </c>
      <c r="AE9" s="6">
        <v>0.109</v>
      </c>
      <c r="AF9" s="6">
        <v>0.28100000000000003</v>
      </c>
      <c r="AG9" s="6">
        <v>3.5999999999999997E-2</v>
      </c>
      <c r="AH9" s="6">
        <v>8.8999999999999996E-2</v>
      </c>
      <c r="AI9" s="6">
        <v>0.14199999999999999</v>
      </c>
      <c r="AJ9" s="6">
        <v>3.4000000000000002E-2</v>
      </c>
      <c r="AK9" s="8">
        <v>0.01</v>
      </c>
      <c r="AL9" s="6">
        <v>1.0999999999999999E-2</v>
      </c>
      <c r="AM9" s="6">
        <v>3.1E-2</v>
      </c>
      <c r="AN9" s="6">
        <v>1.6E-2</v>
      </c>
      <c r="AO9" s="6">
        <v>0.23400000000000001</v>
      </c>
      <c r="AP9" s="6">
        <v>0.35899999999999999</v>
      </c>
      <c r="AQ9" s="6">
        <v>0.20300000000000001</v>
      </c>
      <c r="AR9" s="6">
        <v>0.39100000000000001</v>
      </c>
      <c r="AS9" s="6">
        <v>0.17399999999999999</v>
      </c>
    </row>
    <row r="10" spans="1:45" ht="14">
      <c r="A10" s="5" t="s">
        <v>110</v>
      </c>
      <c r="B10" s="5" t="s">
        <v>159</v>
      </c>
      <c r="C10" s="10">
        <v>45943</v>
      </c>
      <c r="D10" s="12">
        <v>0.26041666666666669</v>
      </c>
      <c r="E10" s="13">
        <f t="shared" si="0"/>
        <v>45943.260416666664</v>
      </c>
      <c r="F10" s="6">
        <v>5.1390000000000002</v>
      </c>
      <c r="G10" s="6">
        <v>2.1999999999999999E-2</v>
      </c>
      <c r="H10" s="6">
        <v>0.32600000000000001</v>
      </c>
      <c r="I10" s="7">
        <v>5.0359999999999996</v>
      </c>
      <c r="J10" s="6">
        <v>1.0999999999999999E-2</v>
      </c>
      <c r="K10" s="6">
        <v>7.8E-2</v>
      </c>
      <c r="L10" s="8">
        <v>5.2999999999999999E-2</v>
      </c>
      <c r="M10" s="7">
        <v>5.9470000000000001</v>
      </c>
      <c r="N10" s="7">
        <v>2.7549999999999999</v>
      </c>
      <c r="O10" s="6">
        <v>0.10199999999999999</v>
      </c>
      <c r="P10" s="6">
        <v>7.0000000000000001E-3</v>
      </c>
      <c r="Q10" s="6">
        <v>1.292</v>
      </c>
      <c r="R10" s="7">
        <v>2.1309999999999998</v>
      </c>
      <c r="S10" s="6">
        <v>0.14899999999999999</v>
      </c>
      <c r="T10" s="8">
        <v>3.0000000000000001E-3</v>
      </c>
      <c r="U10" s="6">
        <v>0.82</v>
      </c>
      <c r="V10" s="7">
        <v>6.2130000000000001</v>
      </c>
      <c r="W10" s="6">
        <v>1.512</v>
      </c>
      <c r="X10" s="6">
        <v>1.5569999999999999</v>
      </c>
      <c r="Y10" s="6">
        <v>9.7000000000000003E-2</v>
      </c>
      <c r="Z10" s="6">
        <v>0.69399999999999995</v>
      </c>
      <c r="AA10" s="8">
        <v>8.9999999999999993E-3</v>
      </c>
      <c r="AB10" s="6">
        <v>0.25600000000000001</v>
      </c>
      <c r="AC10" s="7">
        <v>3.6469999999999998</v>
      </c>
      <c r="AD10" s="8">
        <v>0.11700000000000001</v>
      </c>
      <c r="AE10" s="6">
        <v>0.11899999999999999</v>
      </c>
      <c r="AF10" s="6">
        <v>0.255</v>
      </c>
      <c r="AG10" s="8">
        <v>1.0999999999999999E-2</v>
      </c>
      <c r="AH10" s="6">
        <v>6.0999999999999999E-2</v>
      </c>
      <c r="AI10" s="6">
        <v>0.111</v>
      </c>
      <c r="AJ10" s="6">
        <v>3.7999999999999999E-2</v>
      </c>
      <c r="AK10" s="6">
        <v>7.8E-2</v>
      </c>
      <c r="AL10" s="6">
        <v>0.01</v>
      </c>
      <c r="AM10" s="6">
        <v>2.7E-2</v>
      </c>
      <c r="AN10" s="6">
        <v>1.4E-2</v>
      </c>
      <c r="AO10" s="6">
        <v>0.45</v>
      </c>
      <c r="AP10" s="6">
        <v>0.27300000000000002</v>
      </c>
      <c r="AQ10" s="6">
        <v>0.13800000000000001</v>
      </c>
      <c r="AR10" s="6">
        <v>0.248</v>
      </c>
      <c r="AS10" s="8">
        <v>0.126</v>
      </c>
    </row>
    <row r="11" spans="1:45" ht="14">
      <c r="A11" s="5" t="s">
        <v>111</v>
      </c>
      <c r="B11" s="5" t="s">
        <v>159</v>
      </c>
      <c r="C11" s="10">
        <v>45943</v>
      </c>
      <c r="D11" s="12">
        <v>0.51041666666666663</v>
      </c>
      <c r="E11" s="13">
        <f t="shared" si="0"/>
        <v>45943.510416666664</v>
      </c>
      <c r="F11" s="6">
        <v>3.2050000000000001</v>
      </c>
      <c r="G11" s="6">
        <v>0.01</v>
      </c>
      <c r="H11" s="6">
        <v>0.124</v>
      </c>
      <c r="I11" s="6">
        <v>3.2639999999999998</v>
      </c>
      <c r="J11" s="8">
        <v>6.0000000000000001E-3</v>
      </c>
      <c r="K11" s="6">
        <v>6.7000000000000004E-2</v>
      </c>
      <c r="L11" s="6">
        <v>7.0999999999999994E-2</v>
      </c>
      <c r="M11" s="7">
        <v>3.1920000000000002</v>
      </c>
      <c r="N11" s="7">
        <v>1.7250000000000001</v>
      </c>
      <c r="O11" s="6">
        <v>0.13700000000000001</v>
      </c>
      <c r="P11" s="6">
        <v>2E-3</v>
      </c>
      <c r="Q11" s="6">
        <v>0.59599999999999997</v>
      </c>
      <c r="R11" s="6">
        <v>1.484</v>
      </c>
      <c r="S11" s="6">
        <v>0.183</v>
      </c>
      <c r="T11" s="6">
        <v>3.4000000000000002E-2</v>
      </c>
      <c r="U11" s="6">
        <v>0.877</v>
      </c>
      <c r="V11" s="7">
        <v>3.774</v>
      </c>
      <c r="W11" s="6">
        <v>1.008</v>
      </c>
      <c r="X11" s="6">
        <v>1.4770000000000001</v>
      </c>
      <c r="Y11" s="6">
        <v>8.7999999999999995E-2</v>
      </c>
      <c r="Z11" s="6">
        <v>1.4470000000000001</v>
      </c>
      <c r="AA11" s="8">
        <v>1.7999999999999999E-2</v>
      </c>
      <c r="AB11" s="6">
        <v>0.16900000000000001</v>
      </c>
      <c r="AC11" s="7">
        <v>2.4969999999999999</v>
      </c>
      <c r="AD11" s="8">
        <v>0.14599999999999999</v>
      </c>
      <c r="AE11" s="6">
        <v>4.7E-2</v>
      </c>
      <c r="AF11" s="6">
        <v>0.17599999999999999</v>
      </c>
      <c r="AG11" s="6">
        <v>2.5000000000000001E-2</v>
      </c>
      <c r="AH11" s="6">
        <v>2.4E-2</v>
      </c>
      <c r="AI11" s="6">
        <v>6.0999999999999999E-2</v>
      </c>
      <c r="AJ11" s="6">
        <v>0.03</v>
      </c>
      <c r="AK11" s="6">
        <v>3.6999999999999998E-2</v>
      </c>
      <c r="AL11" s="8">
        <v>4.0000000000000001E-3</v>
      </c>
      <c r="AM11" s="6">
        <v>3.3000000000000002E-2</v>
      </c>
      <c r="AN11" s="8">
        <v>2E-3</v>
      </c>
      <c r="AO11" s="6">
        <v>0.311</v>
      </c>
      <c r="AP11" s="6">
        <v>0.41099999999999998</v>
      </c>
      <c r="AQ11" s="6">
        <v>0.24399999999999999</v>
      </c>
      <c r="AR11" s="6">
        <v>0.34300000000000003</v>
      </c>
      <c r="AS11" s="6">
        <v>0.21199999999999999</v>
      </c>
    </row>
    <row r="12" spans="1:45" ht="14">
      <c r="A12" s="5" t="s">
        <v>112</v>
      </c>
      <c r="B12" s="5" t="s">
        <v>159</v>
      </c>
      <c r="C12" s="10">
        <v>45943</v>
      </c>
      <c r="D12" s="12">
        <v>0.76041666666666663</v>
      </c>
      <c r="E12" s="13">
        <f t="shared" si="0"/>
        <v>45943.760416666664</v>
      </c>
      <c r="F12" s="6">
        <v>1.875</v>
      </c>
      <c r="G12" s="8">
        <v>6.0000000000000001E-3</v>
      </c>
      <c r="H12" s="6">
        <v>0.39100000000000001</v>
      </c>
      <c r="I12" s="6">
        <v>1.754</v>
      </c>
      <c r="J12" s="8">
        <v>8.9999999999999993E-3</v>
      </c>
      <c r="K12" s="6">
        <v>4.1000000000000002E-2</v>
      </c>
      <c r="L12" s="8">
        <v>5.2999999999999999E-2</v>
      </c>
      <c r="M12" s="7">
        <v>2.1360000000000001</v>
      </c>
      <c r="N12" s="6">
        <v>1.117</v>
      </c>
      <c r="O12" s="6">
        <v>6.2E-2</v>
      </c>
      <c r="P12" s="6">
        <v>3.0000000000000001E-3</v>
      </c>
      <c r="Q12" s="6">
        <v>0.65100000000000002</v>
      </c>
      <c r="R12" s="6">
        <v>1.046</v>
      </c>
      <c r="S12" s="6">
        <v>0.108</v>
      </c>
      <c r="T12" s="8">
        <v>1E-3</v>
      </c>
      <c r="U12" s="6">
        <v>0.747</v>
      </c>
      <c r="V12" s="7">
        <v>2.4710000000000001</v>
      </c>
      <c r="W12" s="6">
        <v>0.79900000000000004</v>
      </c>
      <c r="X12" s="6">
        <v>1.226</v>
      </c>
      <c r="Y12" s="6">
        <v>2.3E-2</v>
      </c>
      <c r="Z12" s="6">
        <v>0.752</v>
      </c>
      <c r="AA12" s="8">
        <v>1.4999999999999999E-2</v>
      </c>
      <c r="AB12" s="6">
        <v>9.7000000000000003E-2</v>
      </c>
      <c r="AC12" s="6">
        <v>1.659</v>
      </c>
      <c r="AD12" s="8">
        <v>6.6000000000000003E-2</v>
      </c>
      <c r="AE12" s="6">
        <v>3.3000000000000002E-2</v>
      </c>
      <c r="AF12" s="8">
        <v>9.6000000000000002E-2</v>
      </c>
      <c r="AG12" s="8">
        <v>8.0000000000000002E-3</v>
      </c>
      <c r="AH12" s="6">
        <v>2.9000000000000001E-2</v>
      </c>
      <c r="AI12" s="6">
        <v>7.6999999999999999E-2</v>
      </c>
      <c r="AJ12" s="6">
        <v>0.01</v>
      </c>
      <c r="AK12" s="6">
        <v>3.7999999999999999E-2</v>
      </c>
      <c r="AL12" s="6">
        <v>1.2E-2</v>
      </c>
      <c r="AM12" s="6">
        <v>6.6000000000000003E-2</v>
      </c>
      <c r="AN12" s="8">
        <v>0</v>
      </c>
      <c r="AO12" s="6">
        <v>0.25</v>
      </c>
      <c r="AP12" s="6">
        <v>0.22500000000000001</v>
      </c>
      <c r="AQ12" s="6">
        <v>0.13100000000000001</v>
      </c>
      <c r="AR12" s="6">
        <v>0.218</v>
      </c>
      <c r="AS12" s="8">
        <v>0.13700000000000001</v>
      </c>
    </row>
    <row r="13" spans="1:45" ht="14">
      <c r="A13" s="5" t="s">
        <v>114</v>
      </c>
      <c r="B13" s="5" t="s">
        <v>159</v>
      </c>
      <c r="C13" s="10">
        <v>45944</v>
      </c>
      <c r="D13" s="12">
        <v>1.0416666666666666E-2</v>
      </c>
      <c r="E13" s="13">
        <f t="shared" si="0"/>
        <v>45944.010416666664</v>
      </c>
      <c r="F13" s="6">
        <v>1.746</v>
      </c>
      <c r="G13" s="6">
        <v>1.9E-2</v>
      </c>
      <c r="H13" s="6">
        <v>0.14699999999999999</v>
      </c>
      <c r="I13" s="6">
        <v>1.7370000000000001</v>
      </c>
      <c r="J13" s="8">
        <v>5.0000000000000001E-3</v>
      </c>
      <c r="K13" s="6">
        <v>7.1999999999999995E-2</v>
      </c>
      <c r="L13" s="6">
        <v>6.7000000000000004E-2</v>
      </c>
      <c r="M13" s="7">
        <v>2.16</v>
      </c>
      <c r="N13" s="6">
        <v>0.89400000000000002</v>
      </c>
      <c r="O13" s="6">
        <v>4.3999999999999997E-2</v>
      </c>
      <c r="P13" s="6">
        <v>5.0000000000000001E-3</v>
      </c>
      <c r="Q13" s="8">
        <v>0.16200000000000001</v>
      </c>
      <c r="R13" s="6">
        <v>1.0820000000000001</v>
      </c>
      <c r="S13" s="6">
        <v>8.4000000000000005E-2</v>
      </c>
      <c r="T13" s="8">
        <v>0</v>
      </c>
      <c r="U13" s="6">
        <v>0.77900000000000003</v>
      </c>
      <c r="V13" s="7">
        <v>2.5369999999999999</v>
      </c>
      <c r="W13" s="6">
        <v>0.72799999999999998</v>
      </c>
      <c r="X13" s="6">
        <v>2.1190000000000002</v>
      </c>
      <c r="Y13" s="6">
        <v>3.5999999999999997E-2</v>
      </c>
      <c r="Z13" s="6">
        <v>0.29399999999999998</v>
      </c>
      <c r="AA13" s="6">
        <v>2.4E-2</v>
      </c>
      <c r="AB13" s="6">
        <v>8.8999999999999996E-2</v>
      </c>
      <c r="AC13" s="6">
        <v>1.6930000000000001</v>
      </c>
      <c r="AD13" s="8">
        <v>0.13100000000000001</v>
      </c>
      <c r="AE13" s="6">
        <v>0.05</v>
      </c>
      <c r="AF13" s="6">
        <v>0.191</v>
      </c>
      <c r="AG13" s="6">
        <v>1.6E-2</v>
      </c>
      <c r="AH13" s="6">
        <v>2.1000000000000001E-2</v>
      </c>
      <c r="AI13" s="6">
        <v>0.11700000000000001</v>
      </c>
      <c r="AJ13" s="6">
        <v>1.7000000000000001E-2</v>
      </c>
      <c r="AK13" s="6">
        <v>5.7000000000000002E-2</v>
      </c>
      <c r="AL13" s="6">
        <v>1.4999999999999999E-2</v>
      </c>
      <c r="AM13" s="6">
        <v>9.6000000000000002E-2</v>
      </c>
      <c r="AN13" s="6">
        <v>2.8000000000000001E-2</v>
      </c>
      <c r="AO13" s="6">
        <v>0.183</v>
      </c>
      <c r="AP13" s="6">
        <v>0.42599999999999999</v>
      </c>
      <c r="AQ13" s="6">
        <v>0.25800000000000001</v>
      </c>
      <c r="AR13" s="6">
        <v>0.442</v>
      </c>
      <c r="AS13" s="6">
        <v>0.34100000000000003</v>
      </c>
    </row>
    <row r="14" spans="1:45" ht="14">
      <c r="A14" s="5" t="s">
        <v>115</v>
      </c>
      <c r="B14" s="5" t="s">
        <v>159</v>
      </c>
      <c r="C14" s="10">
        <v>45944</v>
      </c>
      <c r="D14" s="12">
        <v>0.26041666666666669</v>
      </c>
      <c r="E14" s="13">
        <f t="shared" si="0"/>
        <v>45944.260416666664</v>
      </c>
      <c r="F14" s="6">
        <v>1.669</v>
      </c>
      <c r="G14" s="6">
        <v>2.3E-2</v>
      </c>
      <c r="H14" s="8">
        <v>6.2E-2</v>
      </c>
      <c r="I14" s="6">
        <v>1.8069999999999999</v>
      </c>
      <c r="J14" s="8">
        <v>1E-3</v>
      </c>
      <c r="K14" s="6">
        <v>7.8E-2</v>
      </c>
      <c r="L14" s="6">
        <v>6.0999999999999999E-2</v>
      </c>
      <c r="M14" s="7">
        <v>1.9650000000000001</v>
      </c>
      <c r="N14" s="6">
        <v>1.02</v>
      </c>
      <c r="O14" s="8">
        <v>3.2000000000000001E-2</v>
      </c>
      <c r="P14" s="6">
        <v>1.2E-2</v>
      </c>
      <c r="Q14" s="6">
        <v>0.254</v>
      </c>
      <c r="R14" s="6">
        <v>0.96699999999999997</v>
      </c>
      <c r="S14" s="6">
        <v>5.8999999999999997E-2</v>
      </c>
      <c r="T14" s="8">
        <v>4.0000000000000001E-3</v>
      </c>
      <c r="U14" s="6">
        <v>0.878</v>
      </c>
      <c r="V14" s="7">
        <v>2.8809999999999998</v>
      </c>
      <c r="W14" s="6">
        <v>0.75</v>
      </c>
      <c r="X14" s="6">
        <v>1.0309999999999999</v>
      </c>
      <c r="Y14" s="6">
        <v>7.0999999999999994E-2</v>
      </c>
      <c r="Z14" s="6">
        <v>0.37</v>
      </c>
      <c r="AA14" s="8">
        <v>1.7999999999999999E-2</v>
      </c>
      <c r="AB14" s="8">
        <v>3.5999999999999997E-2</v>
      </c>
      <c r="AC14" s="6">
        <v>1.6419999999999999</v>
      </c>
      <c r="AD14" s="8">
        <v>9.9000000000000005E-2</v>
      </c>
      <c r="AE14" s="6">
        <v>0.04</v>
      </c>
      <c r="AF14" s="8">
        <v>0.14000000000000001</v>
      </c>
      <c r="AG14" s="6">
        <v>2.1000000000000001E-2</v>
      </c>
      <c r="AH14" s="6">
        <v>1.2E-2</v>
      </c>
      <c r="AI14" s="6">
        <v>6.6000000000000003E-2</v>
      </c>
      <c r="AJ14" s="8">
        <v>0</v>
      </c>
      <c r="AK14" s="6">
        <v>4.2999999999999997E-2</v>
      </c>
      <c r="AL14" s="8">
        <v>5.0000000000000001E-3</v>
      </c>
      <c r="AM14" s="8">
        <v>2.1999999999999999E-2</v>
      </c>
      <c r="AN14" s="6">
        <v>7.0000000000000001E-3</v>
      </c>
      <c r="AO14" s="6">
        <v>0.217</v>
      </c>
      <c r="AP14" s="6">
        <v>0.28899999999999998</v>
      </c>
      <c r="AQ14" s="6">
        <v>0.17100000000000001</v>
      </c>
      <c r="AR14" s="6">
        <v>0.30399999999999999</v>
      </c>
      <c r="AS14" s="6">
        <v>0.18</v>
      </c>
    </row>
    <row r="15" spans="1:45" ht="14">
      <c r="A15" s="5" t="s">
        <v>116</v>
      </c>
      <c r="B15" s="5" t="s">
        <v>159</v>
      </c>
      <c r="C15" s="10">
        <v>45944</v>
      </c>
      <c r="D15" s="12">
        <v>0.51041666666666663</v>
      </c>
      <c r="E15" s="13">
        <f t="shared" si="0"/>
        <v>45944.510416666664</v>
      </c>
      <c r="F15" s="6">
        <v>1.8360000000000001</v>
      </c>
      <c r="G15" s="6">
        <v>1.0999999999999999E-2</v>
      </c>
      <c r="H15" s="6">
        <v>0.111</v>
      </c>
      <c r="I15" s="6">
        <v>2.3279999999999998</v>
      </c>
      <c r="J15" s="6">
        <v>1.4E-2</v>
      </c>
      <c r="K15" s="6">
        <v>5.6000000000000001E-2</v>
      </c>
      <c r="L15" s="6">
        <v>8.1000000000000003E-2</v>
      </c>
      <c r="M15" s="7">
        <v>2.4910000000000001</v>
      </c>
      <c r="N15" s="6">
        <v>1.137</v>
      </c>
      <c r="O15" s="6">
        <v>4.2000000000000003E-2</v>
      </c>
      <c r="P15" s="8">
        <v>1E-3</v>
      </c>
      <c r="Q15" s="6">
        <v>0.55400000000000005</v>
      </c>
      <c r="R15" s="6">
        <v>1.097</v>
      </c>
      <c r="S15" s="6">
        <v>0.123</v>
      </c>
      <c r="T15" s="6">
        <v>5.0000000000000001E-3</v>
      </c>
      <c r="U15" s="6">
        <v>1.0780000000000001</v>
      </c>
      <c r="V15" s="7">
        <v>2.8719999999999999</v>
      </c>
      <c r="W15" s="6">
        <v>0.81899999999999995</v>
      </c>
      <c r="X15" s="6">
        <v>0.95</v>
      </c>
      <c r="Y15" s="6">
        <v>5.2999999999999999E-2</v>
      </c>
      <c r="Z15" s="6">
        <v>0.77</v>
      </c>
      <c r="AA15" s="6">
        <v>2.9000000000000001E-2</v>
      </c>
      <c r="AB15" s="6">
        <v>6.7000000000000004E-2</v>
      </c>
      <c r="AC15" s="6">
        <v>1.716</v>
      </c>
      <c r="AD15" s="8">
        <v>7.9000000000000001E-2</v>
      </c>
      <c r="AE15" s="6">
        <v>4.1000000000000002E-2</v>
      </c>
      <c r="AF15" s="8">
        <v>0.14699999999999999</v>
      </c>
      <c r="AG15" s="8">
        <v>1.0999999999999999E-2</v>
      </c>
      <c r="AH15" s="8">
        <v>5.0000000000000001E-3</v>
      </c>
      <c r="AI15" s="6">
        <v>0.109</v>
      </c>
      <c r="AJ15" s="6">
        <v>8.9999999999999993E-3</v>
      </c>
      <c r="AK15" s="6">
        <v>0.08</v>
      </c>
      <c r="AL15" s="6">
        <v>8.9999999999999993E-3</v>
      </c>
      <c r="AM15" s="8">
        <v>0.02</v>
      </c>
      <c r="AN15" s="6">
        <v>2.1999999999999999E-2</v>
      </c>
      <c r="AO15" s="6">
        <v>0.22900000000000001</v>
      </c>
      <c r="AP15" s="6">
        <v>0.23400000000000001</v>
      </c>
      <c r="AQ15" s="6">
        <v>0.13800000000000001</v>
      </c>
      <c r="AR15" s="6">
        <v>0.214</v>
      </c>
      <c r="AS15" s="6">
        <v>0.20599999999999999</v>
      </c>
    </row>
    <row r="16" spans="1:45" ht="14">
      <c r="A16" s="5" t="s">
        <v>117</v>
      </c>
      <c r="B16" s="5" t="s">
        <v>159</v>
      </c>
      <c r="C16" s="10">
        <v>45944</v>
      </c>
      <c r="D16" s="12">
        <v>0.76041666666666663</v>
      </c>
      <c r="E16" s="13">
        <f t="shared" si="0"/>
        <v>45944.760416666664</v>
      </c>
      <c r="F16" s="6">
        <v>1.732</v>
      </c>
      <c r="G16" s="6">
        <v>2.1000000000000001E-2</v>
      </c>
      <c r="H16" s="6">
        <v>0.13700000000000001</v>
      </c>
      <c r="I16" s="6">
        <v>2.306</v>
      </c>
      <c r="J16" s="8">
        <v>7.0000000000000001E-3</v>
      </c>
      <c r="K16" s="6">
        <v>7.0000000000000007E-2</v>
      </c>
      <c r="L16" s="6">
        <v>7.4999999999999997E-2</v>
      </c>
      <c r="M16" s="7">
        <v>2.8969999999999998</v>
      </c>
      <c r="N16" s="6">
        <v>1.161</v>
      </c>
      <c r="O16" s="6">
        <v>6.2E-2</v>
      </c>
      <c r="P16" s="6">
        <v>8.9999999999999993E-3</v>
      </c>
      <c r="Q16" s="6">
        <v>0.216</v>
      </c>
      <c r="R16" s="6">
        <v>1.21</v>
      </c>
      <c r="S16" s="6">
        <v>0.05</v>
      </c>
      <c r="T16" s="8">
        <v>2E-3</v>
      </c>
      <c r="U16" s="6">
        <v>1.103</v>
      </c>
      <c r="V16" s="7">
        <v>2.7229999999999999</v>
      </c>
      <c r="W16" s="6">
        <v>0.82899999999999996</v>
      </c>
      <c r="X16" s="6">
        <v>0.751</v>
      </c>
      <c r="Y16" s="6">
        <v>6.2E-2</v>
      </c>
      <c r="Z16" s="6">
        <v>0.36799999999999999</v>
      </c>
      <c r="AA16" s="6">
        <v>4.1000000000000002E-2</v>
      </c>
      <c r="AB16" s="6">
        <v>0.106</v>
      </c>
      <c r="AC16" s="6">
        <v>1.601</v>
      </c>
      <c r="AD16" s="8">
        <v>0.123</v>
      </c>
      <c r="AE16" s="8">
        <v>1.9E-2</v>
      </c>
      <c r="AF16" s="8">
        <v>0.112</v>
      </c>
      <c r="AG16" s="6">
        <v>1.7000000000000001E-2</v>
      </c>
      <c r="AH16" s="6">
        <v>2.9000000000000001E-2</v>
      </c>
      <c r="AI16" s="6">
        <v>5.7000000000000002E-2</v>
      </c>
      <c r="AJ16" s="6">
        <v>1.7999999999999999E-2</v>
      </c>
      <c r="AK16" s="8">
        <v>1.0999999999999999E-2</v>
      </c>
      <c r="AL16" s="6">
        <v>1.0999999999999999E-2</v>
      </c>
      <c r="AM16" s="6">
        <v>6.8000000000000005E-2</v>
      </c>
      <c r="AN16" s="6">
        <v>1.0999999999999999E-2</v>
      </c>
      <c r="AO16" s="6">
        <v>0.26800000000000002</v>
      </c>
      <c r="AP16" s="6">
        <v>0.28000000000000003</v>
      </c>
      <c r="AQ16" s="6">
        <v>0.17599999999999999</v>
      </c>
      <c r="AR16" s="6">
        <v>0.26</v>
      </c>
      <c r="AS16" s="6">
        <v>0.27400000000000002</v>
      </c>
    </row>
    <row r="17" spans="1:45" ht="14">
      <c r="A17" s="5" t="s">
        <v>127</v>
      </c>
      <c r="B17" s="5" t="s">
        <v>159</v>
      </c>
      <c r="C17" s="10">
        <v>45945</v>
      </c>
      <c r="D17" s="12">
        <v>1.0416666666666666E-2</v>
      </c>
      <c r="E17" s="13">
        <f t="shared" si="0"/>
        <v>45945.010416666664</v>
      </c>
      <c r="F17" s="6">
        <v>1.851</v>
      </c>
      <c r="G17" s="6">
        <v>7.0000000000000001E-3</v>
      </c>
      <c r="H17" s="8">
        <v>2.7E-2</v>
      </c>
      <c r="I17" s="6">
        <v>2.44</v>
      </c>
      <c r="J17" s="6">
        <v>1.0999999999999999E-2</v>
      </c>
      <c r="K17" s="6">
        <v>6.2E-2</v>
      </c>
      <c r="L17" s="6">
        <v>7.4999999999999997E-2</v>
      </c>
      <c r="M17" s="7">
        <v>3.0070000000000001</v>
      </c>
      <c r="N17" s="6">
        <v>1.4430000000000001</v>
      </c>
      <c r="O17" s="6">
        <v>6.0999999999999999E-2</v>
      </c>
      <c r="P17" s="8">
        <v>1E-3</v>
      </c>
      <c r="Q17" s="8">
        <v>0.17499999999999999</v>
      </c>
      <c r="R17" s="6">
        <v>1.274</v>
      </c>
      <c r="S17" s="6">
        <v>0.115</v>
      </c>
      <c r="T17" s="6">
        <v>8.9999999999999993E-3</v>
      </c>
      <c r="U17" s="6">
        <v>1.0489999999999999</v>
      </c>
      <c r="V17" s="7">
        <v>3.0270000000000001</v>
      </c>
      <c r="W17" s="6">
        <v>0.75</v>
      </c>
      <c r="X17" s="6">
        <v>1.097</v>
      </c>
      <c r="Y17" s="8">
        <v>0</v>
      </c>
      <c r="Z17" s="6">
        <v>0.36599999999999999</v>
      </c>
      <c r="AA17" s="8">
        <v>1.4999999999999999E-2</v>
      </c>
      <c r="AB17" s="6">
        <v>8.6999999999999994E-2</v>
      </c>
      <c r="AC17" s="6">
        <v>1.889</v>
      </c>
      <c r="AD17" s="8">
        <v>7.9000000000000001E-2</v>
      </c>
      <c r="AE17" s="8">
        <v>1.2999999999999999E-2</v>
      </c>
      <c r="AF17" s="8">
        <v>0.114</v>
      </c>
      <c r="AG17" s="8">
        <v>8.0000000000000002E-3</v>
      </c>
      <c r="AH17" s="6">
        <v>2.9000000000000001E-2</v>
      </c>
      <c r="AI17" s="6">
        <v>8.2000000000000003E-2</v>
      </c>
      <c r="AJ17" s="6">
        <v>4.3999999999999997E-2</v>
      </c>
      <c r="AK17" s="6">
        <v>0.14199999999999999</v>
      </c>
      <c r="AL17" s="8">
        <v>5.0000000000000001E-3</v>
      </c>
      <c r="AM17" s="6">
        <v>0.03</v>
      </c>
      <c r="AN17" s="8">
        <v>0</v>
      </c>
      <c r="AO17" s="6">
        <v>0.317</v>
      </c>
      <c r="AP17" s="6">
        <v>0.19600000000000001</v>
      </c>
      <c r="AQ17" s="8">
        <v>0.121</v>
      </c>
      <c r="AR17" s="6">
        <v>0.32400000000000001</v>
      </c>
      <c r="AS17" s="8">
        <v>0.13400000000000001</v>
      </c>
    </row>
    <row r="18" spans="1:45" ht="14">
      <c r="A18" s="5" t="s">
        <v>128</v>
      </c>
      <c r="B18" s="5" t="s">
        <v>159</v>
      </c>
      <c r="C18" s="10">
        <v>45945</v>
      </c>
      <c r="D18" s="12">
        <v>0.26041666666666669</v>
      </c>
      <c r="E18" s="13">
        <f t="shared" si="0"/>
        <v>45945.260416666664</v>
      </c>
      <c r="F18" s="6">
        <v>2.9049999999999998</v>
      </c>
      <c r="G18" s="6">
        <v>3.6999999999999998E-2</v>
      </c>
      <c r="H18" s="8">
        <v>0</v>
      </c>
      <c r="I18" s="6">
        <v>3.4830000000000001</v>
      </c>
      <c r="J18" s="8">
        <v>8.9999999999999993E-3</v>
      </c>
      <c r="K18" s="6">
        <v>0.13500000000000001</v>
      </c>
      <c r="L18" s="8">
        <v>4.7E-2</v>
      </c>
      <c r="M18" s="7">
        <v>3.9820000000000002</v>
      </c>
      <c r="N18" s="7">
        <v>1.905</v>
      </c>
      <c r="O18" s="6">
        <v>5.3999999999999999E-2</v>
      </c>
      <c r="P18" s="6">
        <v>3.0000000000000001E-3</v>
      </c>
      <c r="Q18" s="6">
        <v>0.50600000000000001</v>
      </c>
      <c r="R18" s="7">
        <v>1.8180000000000001</v>
      </c>
      <c r="S18" s="6">
        <v>0.113</v>
      </c>
      <c r="T18" s="6">
        <v>5.0000000000000001E-3</v>
      </c>
      <c r="U18" s="6">
        <v>1.6539999999999999</v>
      </c>
      <c r="V18" s="7">
        <v>4.7</v>
      </c>
      <c r="W18" s="6">
        <v>1.135</v>
      </c>
      <c r="X18" s="6">
        <v>1.381</v>
      </c>
      <c r="Y18" s="6">
        <v>6.5000000000000002E-2</v>
      </c>
      <c r="Z18" s="8">
        <v>0.152</v>
      </c>
      <c r="AA18" s="6">
        <v>0.05</v>
      </c>
      <c r="AB18" s="6">
        <v>0.13</v>
      </c>
      <c r="AC18" s="6">
        <v>2.1829999999999998</v>
      </c>
      <c r="AD18" s="6">
        <v>0.19600000000000001</v>
      </c>
      <c r="AE18" s="6">
        <v>3.4000000000000002E-2</v>
      </c>
      <c r="AF18" s="6">
        <v>0.24099999999999999</v>
      </c>
      <c r="AG18" s="6">
        <v>1.7000000000000001E-2</v>
      </c>
      <c r="AH18" s="6">
        <v>2.7E-2</v>
      </c>
      <c r="AI18" s="6">
        <v>0.17899999999999999</v>
      </c>
      <c r="AJ18" s="6">
        <v>0.01</v>
      </c>
      <c r="AK18" s="6">
        <v>7.8E-2</v>
      </c>
      <c r="AL18" s="6">
        <v>6.0000000000000001E-3</v>
      </c>
      <c r="AM18" s="6">
        <v>5.2999999999999999E-2</v>
      </c>
      <c r="AN18" s="8">
        <v>4.0000000000000001E-3</v>
      </c>
      <c r="AO18" s="6">
        <v>0.65900000000000003</v>
      </c>
      <c r="AP18" s="6">
        <v>0.378</v>
      </c>
      <c r="AQ18" s="6">
        <v>0.29499999999999998</v>
      </c>
      <c r="AR18" s="6">
        <v>0.40699999999999997</v>
      </c>
      <c r="AS18" s="6">
        <v>0.29599999999999999</v>
      </c>
    </row>
    <row r="19" spans="1:45" ht="14">
      <c r="A19" s="5" t="s">
        <v>118</v>
      </c>
      <c r="B19" s="5" t="s">
        <v>160</v>
      </c>
      <c r="C19" s="10">
        <v>45942</v>
      </c>
      <c r="D19" s="12">
        <v>0.99930555555555556</v>
      </c>
      <c r="E19" s="13">
        <f t="shared" si="0"/>
        <v>45942.999305555553</v>
      </c>
      <c r="F19" s="7">
        <v>7.95</v>
      </c>
      <c r="G19" s="6">
        <v>2.5000000000000001E-2</v>
      </c>
      <c r="H19" s="6">
        <v>9.5000000000000001E-2</v>
      </c>
      <c r="I19" s="7">
        <v>8.1839999999999993</v>
      </c>
      <c r="J19" s="6">
        <v>2.1000000000000001E-2</v>
      </c>
      <c r="K19" s="8">
        <v>3.6999999999999998E-2</v>
      </c>
      <c r="L19" s="6">
        <v>0.10199999999999999</v>
      </c>
      <c r="M19" s="7">
        <v>37.784999999999997</v>
      </c>
      <c r="N19" s="6">
        <v>8.8999999999999996E-2</v>
      </c>
      <c r="O19" s="6">
        <v>9.1999999999999998E-2</v>
      </c>
      <c r="P19" s="6">
        <v>6.0000000000000001E-3</v>
      </c>
      <c r="Q19" s="6">
        <v>7.1890000000000001</v>
      </c>
      <c r="R19" s="7">
        <v>2.9950000000000001</v>
      </c>
      <c r="S19" s="6">
        <v>5.0999999999999997E-2</v>
      </c>
      <c r="T19" s="8">
        <v>2E-3</v>
      </c>
      <c r="U19" s="6">
        <v>0.23599999999999999</v>
      </c>
      <c r="V19" s="6">
        <v>1.141</v>
      </c>
      <c r="W19" s="6">
        <v>0.41899999999999998</v>
      </c>
      <c r="X19" s="6">
        <v>1.53</v>
      </c>
      <c r="Y19" s="8">
        <v>1.2999999999999999E-2</v>
      </c>
      <c r="Z19" s="6">
        <v>1.2969999999999999</v>
      </c>
      <c r="AA19" s="6">
        <v>4.2000000000000003E-2</v>
      </c>
      <c r="AB19" s="6">
        <v>0.17399999999999999</v>
      </c>
      <c r="AC19" s="6">
        <v>0.46300000000000002</v>
      </c>
      <c r="AD19" s="8">
        <v>6.7000000000000004E-2</v>
      </c>
      <c r="AE19" s="6">
        <v>7.0000000000000007E-2</v>
      </c>
      <c r="AF19" s="8">
        <v>9.0999999999999998E-2</v>
      </c>
      <c r="AG19" s="6">
        <v>2.3E-2</v>
      </c>
      <c r="AH19" s="8">
        <v>2E-3</v>
      </c>
      <c r="AI19" s="8">
        <v>2.1999999999999999E-2</v>
      </c>
      <c r="AJ19" s="6">
        <v>2.4E-2</v>
      </c>
      <c r="AK19" s="6">
        <v>3.5999999999999997E-2</v>
      </c>
      <c r="AL19" s="6">
        <v>0.01</v>
      </c>
      <c r="AM19" s="6">
        <v>5.5E-2</v>
      </c>
      <c r="AN19" s="6">
        <v>8.0000000000000002E-3</v>
      </c>
      <c r="AO19" s="6">
        <v>6.9000000000000006E-2</v>
      </c>
      <c r="AP19" s="6">
        <v>0.255</v>
      </c>
      <c r="AQ19" s="6">
        <v>0.14399999999999999</v>
      </c>
      <c r="AR19" s="6">
        <v>0.214</v>
      </c>
      <c r="AS19" s="8">
        <v>8.4000000000000005E-2</v>
      </c>
    </row>
    <row r="20" spans="1:45" ht="14">
      <c r="B2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8"/>
  <sheetViews>
    <sheetView workbookViewId="0">
      <selection activeCell="D2" sqref="D2"/>
    </sheetView>
  </sheetViews>
  <sheetFormatPr defaultColWidth="12.6328125" defaultRowHeight="15.75" customHeight="1"/>
  <sheetData>
    <row r="1" spans="1:7" ht="15.75" customHeight="1">
      <c r="A1" s="1" t="s">
        <v>156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customHeight="1">
      <c r="A2" s="1" t="s">
        <v>6</v>
      </c>
      <c r="B2" s="1" t="s">
        <v>7</v>
      </c>
      <c r="C2" s="2">
        <v>45941</v>
      </c>
      <c r="D2" s="3">
        <v>0.37013888888888891</v>
      </c>
      <c r="E2" s="4">
        <v>42.388202225325301</v>
      </c>
      <c r="F2" s="4">
        <v>-72.539295424485601</v>
      </c>
      <c r="G2" s="1">
        <v>27.262</v>
      </c>
    </row>
    <row r="3" spans="1:7" ht="15.75" customHeight="1">
      <c r="A3" s="1" t="s">
        <v>8</v>
      </c>
      <c r="B3" s="1" t="s">
        <v>9</v>
      </c>
      <c r="C3" s="2">
        <v>45941</v>
      </c>
      <c r="D3" s="3">
        <v>0.41319444444444442</v>
      </c>
      <c r="E3" s="4">
        <v>42.411749006705001</v>
      </c>
      <c r="F3" s="4">
        <v>-72.528410078287195</v>
      </c>
      <c r="G3" s="1">
        <v>6.0710000000000006</v>
      </c>
    </row>
    <row r="4" spans="1:7" ht="15.75" customHeight="1">
      <c r="A4" s="1" t="s">
        <v>10</v>
      </c>
      <c r="B4" s="1" t="s">
        <v>11</v>
      </c>
      <c r="C4" s="2">
        <v>45941</v>
      </c>
      <c r="D4" s="3">
        <v>0.44305555555555554</v>
      </c>
      <c r="E4" s="4">
        <v>42.415709999999997</v>
      </c>
      <c r="F4" s="4">
        <v>-72.519360000000006</v>
      </c>
      <c r="G4" s="1">
        <v>5.4130000000000003</v>
      </c>
    </row>
    <row r="5" spans="1:7" ht="15.75" customHeight="1">
      <c r="A5" s="1" t="s">
        <v>12</v>
      </c>
      <c r="B5" s="1" t="s">
        <v>13</v>
      </c>
      <c r="C5" s="2">
        <v>45941</v>
      </c>
      <c r="D5" s="3">
        <v>0.44861111111111113</v>
      </c>
      <c r="E5" s="4">
        <v>42.416069999999998</v>
      </c>
      <c r="F5" s="4">
        <v>-72.517420000000001</v>
      </c>
      <c r="G5" s="1">
        <v>3.6560000000000001</v>
      </c>
    </row>
    <row r="6" spans="1:7" ht="15.75" customHeight="1">
      <c r="A6" s="1" t="s">
        <v>14</v>
      </c>
      <c r="B6" s="1" t="s">
        <v>15</v>
      </c>
      <c r="C6" s="2">
        <v>45941</v>
      </c>
      <c r="D6" s="3">
        <v>0.45763888888888887</v>
      </c>
      <c r="E6" s="4">
        <v>42.416766911809098</v>
      </c>
      <c r="F6" s="4">
        <v>-72.509907426214596</v>
      </c>
      <c r="G6" s="1">
        <v>3.0329999999999999</v>
      </c>
    </row>
    <row r="7" spans="1:7" ht="15.75" customHeight="1">
      <c r="A7" s="1" t="s">
        <v>16</v>
      </c>
      <c r="B7" s="1" t="s">
        <v>17</v>
      </c>
      <c r="C7" s="2">
        <v>45941</v>
      </c>
      <c r="D7" s="3">
        <v>0.49791666666666667</v>
      </c>
      <c r="E7" s="4">
        <v>42.429121580406601</v>
      </c>
      <c r="F7" s="4">
        <v>-72.494571642197599</v>
      </c>
      <c r="G7" s="1">
        <v>3.5609999999999999</v>
      </c>
    </row>
    <row r="8" spans="1:7" ht="15.75" customHeight="1">
      <c r="A8" s="1" t="s">
        <v>18</v>
      </c>
      <c r="B8" s="1" t="s">
        <v>19</v>
      </c>
      <c r="C8" s="2">
        <v>45941</v>
      </c>
      <c r="D8" s="3">
        <v>0.5131944444444444</v>
      </c>
      <c r="E8" s="4">
        <v>42.419985320000002</v>
      </c>
      <c r="F8" s="4">
        <v>-72.482287510000006</v>
      </c>
      <c r="G8" s="1">
        <v>8.6589999999999989</v>
      </c>
    </row>
    <row r="9" spans="1:7" ht="15.75" customHeight="1">
      <c r="A9" s="1" t="s">
        <v>20</v>
      </c>
      <c r="B9" s="1" t="s">
        <v>21</v>
      </c>
      <c r="C9" s="2">
        <v>45941</v>
      </c>
      <c r="D9" s="3">
        <v>0.51249999999999996</v>
      </c>
      <c r="E9" s="1">
        <v>42.438562740000002</v>
      </c>
      <c r="F9" s="1">
        <v>-72.482467909999997</v>
      </c>
      <c r="G9" s="1">
        <v>1.24</v>
      </c>
    </row>
    <row r="10" spans="1:7" ht="15.75" customHeight="1">
      <c r="A10" s="1" t="s">
        <v>22</v>
      </c>
      <c r="B10" s="1" t="s">
        <v>23</v>
      </c>
      <c r="C10" s="2">
        <v>45941</v>
      </c>
      <c r="D10" s="3">
        <v>0.52500000000000002</v>
      </c>
      <c r="E10" s="1">
        <v>42.449388913668898</v>
      </c>
      <c r="F10" s="1">
        <v>-72.466290849799805</v>
      </c>
      <c r="G10" s="1">
        <v>2.88</v>
      </c>
    </row>
    <row r="11" spans="1:7" ht="15.75" customHeight="1">
      <c r="A11" s="1" t="s">
        <v>24</v>
      </c>
      <c r="B11" s="1" t="s">
        <v>25</v>
      </c>
      <c r="C11" s="2">
        <v>45941</v>
      </c>
      <c r="D11" s="3">
        <v>0.53333333333333333</v>
      </c>
      <c r="E11" s="1">
        <v>42.454607094649603</v>
      </c>
      <c r="F11" s="1">
        <v>-72.427284495701102</v>
      </c>
      <c r="G11" s="1">
        <v>8.7220000000000013</v>
      </c>
    </row>
    <row r="12" spans="1:7" ht="15.75" customHeight="1">
      <c r="A12" s="1" t="s">
        <v>26</v>
      </c>
      <c r="B12" s="1" t="s">
        <v>27</v>
      </c>
      <c r="C12" s="2">
        <v>45941</v>
      </c>
      <c r="D12" s="3">
        <v>0.54861111111111116</v>
      </c>
      <c r="E12" s="1">
        <v>42.451114062191401</v>
      </c>
      <c r="F12" s="1">
        <v>-72.493034011126397</v>
      </c>
      <c r="G12" s="1">
        <v>10.087000000000002</v>
      </c>
    </row>
    <row r="13" spans="1:7" ht="15.75" customHeight="1">
      <c r="A13" s="1" t="s">
        <v>28</v>
      </c>
      <c r="B13" s="1" t="s">
        <v>29</v>
      </c>
      <c r="C13" s="2">
        <v>45941</v>
      </c>
      <c r="D13" s="3">
        <v>0.55694444444444446</v>
      </c>
      <c r="E13" s="1">
        <v>42.461877174312001</v>
      </c>
      <c r="F13" s="1">
        <v>-72.495826834259802</v>
      </c>
      <c r="G13" s="1">
        <v>6.7089999999999987</v>
      </c>
    </row>
    <row r="14" spans="1:7" ht="15.75" customHeight="1">
      <c r="A14" s="1" t="s">
        <v>30</v>
      </c>
      <c r="B14" s="1" t="s">
        <v>31</v>
      </c>
      <c r="C14" s="2">
        <v>45941</v>
      </c>
      <c r="D14" s="3">
        <v>0.57222222222222219</v>
      </c>
      <c r="E14" s="1">
        <v>42.451396522493397</v>
      </c>
      <c r="F14" s="1">
        <v>-72.502721962651194</v>
      </c>
      <c r="G14" s="1">
        <v>14.851000000000001</v>
      </c>
    </row>
    <row r="15" spans="1:7" ht="15.75" customHeight="1">
      <c r="A15" s="1" t="s">
        <v>32</v>
      </c>
      <c r="B15" s="1" t="s">
        <v>33</v>
      </c>
      <c r="C15" s="2">
        <v>45941</v>
      </c>
      <c r="D15" s="3">
        <v>0.57986111111111116</v>
      </c>
      <c r="E15" s="1">
        <v>42.419352479046097</v>
      </c>
      <c r="F15" s="1">
        <v>-72.525550503474605</v>
      </c>
      <c r="G15" s="1">
        <v>2.556</v>
      </c>
    </row>
    <row r="16" spans="1:7" ht="15.75" customHeight="1">
      <c r="A16" s="1" t="s">
        <v>34</v>
      </c>
      <c r="B16" s="1" t="s">
        <v>35</v>
      </c>
      <c r="C16" s="2">
        <v>45941</v>
      </c>
      <c r="D16" s="3">
        <v>0.6020833333333333</v>
      </c>
      <c r="E16" s="1">
        <v>42.385831798833202</v>
      </c>
      <c r="F16" s="1">
        <v>-72.5809556598374</v>
      </c>
      <c r="G16" s="1">
        <v>36.330000000000005</v>
      </c>
    </row>
    <row r="17" spans="1:7" ht="15.75" customHeight="1">
      <c r="A17" s="1" t="s">
        <v>36</v>
      </c>
      <c r="B17" s="1" t="s">
        <v>37</v>
      </c>
      <c r="C17" s="2">
        <v>45941</v>
      </c>
      <c r="D17" s="3">
        <v>0.61875000000000002</v>
      </c>
      <c r="E17" s="4">
        <v>42.364420000000003</v>
      </c>
      <c r="F17" s="4">
        <v>-72.540509999999998</v>
      </c>
      <c r="G17" s="1">
        <v>50.576999999999998</v>
      </c>
    </row>
    <row r="18" spans="1:7" ht="15.75" customHeight="1">
      <c r="A18" s="1" t="s">
        <v>38</v>
      </c>
      <c r="B18" s="1" t="s">
        <v>39</v>
      </c>
      <c r="C18" s="2">
        <v>45941</v>
      </c>
      <c r="D18" s="3">
        <v>0.62986111111111109</v>
      </c>
      <c r="E18" s="1">
        <v>42.373614752538899</v>
      </c>
      <c r="F18" s="1">
        <v>-72.539451674428605</v>
      </c>
      <c r="G18" s="1">
        <v>33.644999999999996</v>
      </c>
    </row>
    <row r="19" spans="1:7" ht="15.75" customHeight="1">
      <c r="A19" s="1" t="s">
        <v>40</v>
      </c>
      <c r="C19" s="2">
        <v>45941</v>
      </c>
    </row>
    <row r="20" spans="1:7" ht="15.75" customHeight="1">
      <c r="A20" s="1" t="s">
        <v>41</v>
      </c>
      <c r="C20" s="2">
        <v>45941</v>
      </c>
    </row>
    <row r="21" spans="1:7" ht="15.75" customHeight="1">
      <c r="A21" s="1" t="s">
        <v>42</v>
      </c>
      <c r="C21" s="2">
        <v>45941</v>
      </c>
    </row>
    <row r="22" spans="1:7" ht="15.75" customHeight="1">
      <c r="A22" s="1" t="s">
        <v>43</v>
      </c>
      <c r="C22" s="2">
        <v>45945</v>
      </c>
    </row>
    <row r="23" spans="1:7" ht="15.75" customHeight="1">
      <c r="A23" s="1" t="s">
        <v>44</v>
      </c>
      <c r="C23" s="2">
        <v>45945</v>
      </c>
    </row>
    <row r="24" spans="1:7" ht="15.75" customHeight="1">
      <c r="A24" s="1" t="s">
        <v>45</v>
      </c>
      <c r="C24" s="2">
        <v>45945</v>
      </c>
    </row>
    <row r="25" spans="1:7" ht="15.75" customHeight="1">
      <c r="A25" s="1" t="s">
        <v>46</v>
      </c>
      <c r="C25" s="2">
        <v>45945</v>
      </c>
    </row>
    <row r="26" spans="1:7" ht="15.75" customHeight="1">
      <c r="A26" s="1" t="s">
        <v>47</v>
      </c>
      <c r="C26" s="2">
        <v>45945</v>
      </c>
    </row>
    <row r="27" spans="1:7" ht="15.75" customHeight="1">
      <c r="A27" s="1" t="s">
        <v>48</v>
      </c>
      <c r="C27" s="2">
        <v>45945</v>
      </c>
    </row>
    <row r="28" spans="1:7" ht="15.75" customHeight="1">
      <c r="A28" s="1" t="s">
        <v>49</v>
      </c>
      <c r="C28" s="2">
        <v>45945</v>
      </c>
    </row>
    <row r="29" spans="1:7" ht="15.75" customHeight="1">
      <c r="A29" s="1" t="s">
        <v>50</v>
      </c>
      <c r="C29" s="2">
        <v>45945</v>
      </c>
    </row>
    <row r="30" spans="1:7" ht="15.75" customHeight="1">
      <c r="A30" s="1" t="s">
        <v>51</v>
      </c>
      <c r="C30" s="2">
        <v>45945</v>
      </c>
    </row>
    <row r="31" spans="1:7" ht="15.75" customHeight="1">
      <c r="A31" s="1" t="s">
        <v>52</v>
      </c>
      <c r="C31" s="2">
        <v>45945</v>
      </c>
    </row>
    <row r="32" spans="1:7" ht="12.5">
      <c r="A32" s="1" t="s">
        <v>53</v>
      </c>
      <c r="C32" s="2">
        <v>45945</v>
      </c>
    </row>
    <row r="33" spans="1:3" ht="12.5">
      <c r="A33" s="1" t="s">
        <v>54</v>
      </c>
      <c r="C33" s="2">
        <v>45945</v>
      </c>
    </row>
    <row r="34" spans="1:3" ht="12.5">
      <c r="A34" s="1" t="s">
        <v>55</v>
      </c>
      <c r="C34" s="2">
        <v>45945</v>
      </c>
    </row>
    <row r="35" spans="1:3" ht="12.5">
      <c r="A35" s="1" t="s">
        <v>56</v>
      </c>
      <c r="C35" s="2">
        <v>45945</v>
      </c>
    </row>
    <row r="36" spans="1:3" ht="12.5">
      <c r="A36" s="1" t="s">
        <v>57</v>
      </c>
      <c r="C36" s="2">
        <v>45945</v>
      </c>
    </row>
    <row r="37" spans="1:3" ht="12.5">
      <c r="A37" s="1" t="s">
        <v>58</v>
      </c>
      <c r="C37" s="2">
        <v>45945</v>
      </c>
    </row>
    <row r="38" spans="1:3" ht="12.5">
      <c r="A38" s="1" t="s">
        <v>59</v>
      </c>
      <c r="C38" s="2">
        <v>45945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8"/>
  <sheetViews>
    <sheetView workbookViewId="0"/>
  </sheetViews>
  <sheetFormatPr defaultColWidth="12.6328125" defaultRowHeight="15.75" customHeight="1"/>
  <sheetData>
    <row r="1" spans="1:7" ht="15.75" customHeight="1">
      <c r="A1" s="1" t="s">
        <v>60</v>
      </c>
      <c r="B1" s="1" t="s">
        <v>61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</row>
    <row r="2" spans="1:7" ht="15.75" customHeight="1">
      <c r="A2" s="1">
        <v>1</v>
      </c>
      <c r="B2" s="1">
        <v>1</v>
      </c>
      <c r="C2" s="1" t="s">
        <v>7</v>
      </c>
      <c r="D2" s="2">
        <v>45941</v>
      </c>
      <c r="E2" s="4">
        <v>42.388202225325301</v>
      </c>
      <c r="F2" s="4">
        <v>-72.539295424485601</v>
      </c>
      <c r="G2" s="1">
        <v>27.262</v>
      </c>
    </row>
    <row r="3" spans="1:7" ht="15.75" customHeight="1">
      <c r="A3" s="1">
        <v>2</v>
      </c>
      <c r="B3" s="1">
        <v>2</v>
      </c>
      <c r="C3" s="1" t="s">
        <v>9</v>
      </c>
      <c r="D3" s="2">
        <v>45941</v>
      </c>
      <c r="E3" s="4">
        <v>42.411749006705001</v>
      </c>
      <c r="F3" s="4">
        <v>-72.528410078287195</v>
      </c>
      <c r="G3" s="1">
        <v>6.0710000000000006</v>
      </c>
    </row>
    <row r="4" spans="1:7" ht="15.75" customHeight="1">
      <c r="A4" s="1">
        <v>3</v>
      </c>
      <c r="B4" s="1">
        <v>3</v>
      </c>
      <c r="C4" s="1" t="s">
        <v>11</v>
      </c>
      <c r="D4" s="2">
        <v>45941</v>
      </c>
      <c r="E4" s="4">
        <v>42.415709999999997</v>
      </c>
      <c r="F4" s="4">
        <v>-72.519360000000006</v>
      </c>
      <c r="G4" s="1">
        <v>5.4130000000000003</v>
      </c>
    </row>
    <row r="5" spans="1:7" ht="15.75" customHeight="1">
      <c r="A5" s="1">
        <v>4</v>
      </c>
      <c r="B5" s="1">
        <v>4</v>
      </c>
      <c r="C5" s="1" t="s">
        <v>13</v>
      </c>
      <c r="D5" s="2">
        <v>45941</v>
      </c>
      <c r="E5" s="4">
        <v>42.416069999999998</v>
      </c>
      <c r="F5" s="4">
        <v>-72.517420000000001</v>
      </c>
      <c r="G5" s="1">
        <v>3.6560000000000001</v>
      </c>
    </row>
    <row r="6" spans="1:7" ht="15.75" customHeight="1">
      <c r="A6" s="1">
        <v>5</v>
      </c>
      <c r="B6" s="1">
        <v>5</v>
      </c>
      <c r="C6" s="1" t="s">
        <v>15</v>
      </c>
      <c r="D6" s="2">
        <v>45941</v>
      </c>
      <c r="E6" s="4">
        <v>42.416766911809098</v>
      </c>
      <c r="F6" s="4">
        <v>-72.509907426214596</v>
      </c>
      <c r="G6" s="1">
        <v>3.0329999999999999</v>
      </c>
    </row>
    <row r="7" spans="1:7" ht="15.75" customHeight="1">
      <c r="A7" s="1">
        <v>6</v>
      </c>
      <c r="B7" s="1">
        <v>6</v>
      </c>
      <c r="C7" s="1" t="s">
        <v>17</v>
      </c>
      <c r="D7" s="2">
        <v>45941</v>
      </c>
      <c r="E7" s="4">
        <v>42.429121580406601</v>
      </c>
      <c r="F7" s="4">
        <v>-72.494571642197599</v>
      </c>
      <c r="G7" s="1">
        <v>3.5609999999999999</v>
      </c>
    </row>
    <row r="8" spans="1:7" ht="15.75" customHeight="1">
      <c r="A8" s="1">
        <v>7</v>
      </c>
      <c r="B8" s="1">
        <v>7</v>
      </c>
      <c r="C8" s="1" t="s">
        <v>19</v>
      </c>
      <c r="D8" s="2">
        <v>45941</v>
      </c>
      <c r="E8" s="4">
        <v>42.419985320000002</v>
      </c>
      <c r="F8" s="4">
        <v>-72.482287510000006</v>
      </c>
      <c r="G8" s="1">
        <v>8.6589999999999989</v>
      </c>
    </row>
    <row r="9" spans="1:7" ht="15.75" customHeight="1">
      <c r="A9" s="1">
        <v>8</v>
      </c>
      <c r="B9" s="1">
        <v>8</v>
      </c>
      <c r="C9" s="1" t="s">
        <v>21</v>
      </c>
      <c r="D9" s="2">
        <v>45941</v>
      </c>
      <c r="E9" s="1">
        <v>42.438562740000002</v>
      </c>
      <c r="F9" s="1">
        <v>-72.482467909999997</v>
      </c>
      <c r="G9" s="1">
        <v>1.24</v>
      </c>
    </row>
    <row r="10" spans="1:7" ht="15.75" customHeight="1">
      <c r="A10" s="1">
        <v>9</v>
      </c>
      <c r="B10" s="1">
        <v>9</v>
      </c>
      <c r="C10" s="1" t="s">
        <v>23</v>
      </c>
      <c r="D10" s="2">
        <v>45941</v>
      </c>
      <c r="E10" s="1">
        <v>42.449388913668898</v>
      </c>
      <c r="F10" s="1">
        <v>-72.466290849799805</v>
      </c>
      <c r="G10" s="1">
        <v>2.88</v>
      </c>
    </row>
    <row r="11" spans="1:7" ht="15.75" customHeight="1">
      <c r="A11" s="1">
        <v>10</v>
      </c>
      <c r="B11" s="1">
        <v>10</v>
      </c>
      <c r="C11" s="1" t="s">
        <v>25</v>
      </c>
      <c r="D11" s="2">
        <v>45941</v>
      </c>
      <c r="E11" s="1">
        <v>42.454607094649603</v>
      </c>
      <c r="F11" s="1">
        <v>-72.427284495701102</v>
      </c>
      <c r="G11" s="1">
        <v>8.7220000000000013</v>
      </c>
    </row>
    <row r="12" spans="1:7" ht="15.75" customHeight="1">
      <c r="A12" s="1">
        <v>11</v>
      </c>
      <c r="B12" s="1">
        <v>11</v>
      </c>
      <c r="C12" s="1" t="s">
        <v>27</v>
      </c>
      <c r="D12" s="2">
        <v>45941</v>
      </c>
      <c r="E12" s="1">
        <v>42.451114062191401</v>
      </c>
      <c r="F12" s="1">
        <v>-72.493034011126397</v>
      </c>
      <c r="G12" s="1">
        <v>10.087000000000002</v>
      </c>
    </row>
    <row r="13" spans="1:7" ht="15.75" customHeight="1">
      <c r="A13" s="1">
        <v>12</v>
      </c>
      <c r="B13" s="1">
        <v>12</v>
      </c>
      <c r="C13" s="1" t="s">
        <v>29</v>
      </c>
      <c r="D13" s="2">
        <v>45941</v>
      </c>
      <c r="E13" s="1">
        <v>42.461877174312001</v>
      </c>
      <c r="F13" s="1">
        <v>-72.495826834259802</v>
      </c>
      <c r="G13" s="1">
        <v>6.7089999999999987</v>
      </c>
    </row>
    <row r="14" spans="1:7" ht="15.75" customHeight="1">
      <c r="A14" s="1">
        <v>13</v>
      </c>
      <c r="B14" s="1">
        <v>13</v>
      </c>
      <c r="C14" s="1" t="s">
        <v>31</v>
      </c>
      <c r="D14" s="2">
        <v>45941</v>
      </c>
      <c r="E14" s="1">
        <v>42.451396522493397</v>
      </c>
      <c r="F14" s="1">
        <v>-72.502721962651194</v>
      </c>
      <c r="G14" s="1">
        <v>14.851000000000001</v>
      </c>
    </row>
    <row r="15" spans="1:7" ht="15.75" customHeight="1">
      <c r="A15" s="1">
        <v>14</v>
      </c>
      <c r="B15" s="1">
        <v>14</v>
      </c>
      <c r="C15" s="1" t="s">
        <v>33</v>
      </c>
      <c r="D15" s="2">
        <v>45941</v>
      </c>
      <c r="E15" s="1">
        <v>42.419352479046097</v>
      </c>
      <c r="F15" s="1">
        <v>-72.525550503474605</v>
      </c>
      <c r="G15" s="1">
        <v>2.556</v>
      </c>
    </row>
    <row r="16" spans="1:7" ht="15.75" customHeight="1">
      <c r="A16" s="1">
        <v>15</v>
      </c>
      <c r="B16" s="1">
        <v>15</v>
      </c>
      <c r="C16" s="1" t="s">
        <v>35</v>
      </c>
      <c r="D16" s="2">
        <v>45941</v>
      </c>
      <c r="E16" s="1">
        <v>42.385831798833202</v>
      </c>
      <c r="F16" s="1">
        <v>-72.5809556598374</v>
      </c>
      <c r="G16" s="1">
        <v>36.330000000000005</v>
      </c>
    </row>
    <row r="17" spans="1:7" ht="15.75" customHeight="1">
      <c r="A17" s="1">
        <v>16</v>
      </c>
      <c r="B17" s="1">
        <v>16</v>
      </c>
      <c r="C17" s="1" t="s">
        <v>37</v>
      </c>
      <c r="D17" s="2">
        <v>45941</v>
      </c>
      <c r="E17" s="4">
        <v>42.364420000000003</v>
      </c>
      <c r="F17" s="4">
        <v>-72.540509999999998</v>
      </c>
      <c r="G17" s="1">
        <v>50.576999999999998</v>
      </c>
    </row>
    <row r="18" spans="1:7" ht="15.75" customHeight="1">
      <c r="A18" s="1">
        <v>17</v>
      </c>
      <c r="B18" s="1">
        <v>17</v>
      </c>
      <c r="C18" s="1" t="s">
        <v>39</v>
      </c>
      <c r="D18" s="2">
        <v>45941</v>
      </c>
      <c r="E18" s="1">
        <v>42.373614752538899</v>
      </c>
      <c r="F18" s="1">
        <v>-72.539451674428605</v>
      </c>
      <c r="G18" s="1">
        <v>33.644999999999996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56"/>
  <sheetViews>
    <sheetView workbookViewId="0">
      <selection activeCell="AH31" sqref="AH31"/>
    </sheetView>
  </sheetViews>
  <sheetFormatPr defaultColWidth="12.6328125" defaultRowHeight="15.75" customHeight="1"/>
  <sheetData>
    <row r="1" spans="1:41">
      <c r="A1" s="5"/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  <c r="H1" s="5" t="s">
        <v>68</v>
      </c>
      <c r="I1" s="5" t="s">
        <v>69</v>
      </c>
      <c r="J1" s="5" t="s">
        <v>70</v>
      </c>
      <c r="K1" s="5" t="s">
        <v>71</v>
      </c>
      <c r="L1" s="5" t="s">
        <v>72</v>
      </c>
      <c r="M1" s="5" t="s">
        <v>73</v>
      </c>
      <c r="N1" s="5" t="s">
        <v>74</v>
      </c>
      <c r="O1" s="5" t="s">
        <v>75</v>
      </c>
      <c r="P1" s="5" t="s">
        <v>76</v>
      </c>
      <c r="Q1" s="5" t="s">
        <v>77</v>
      </c>
      <c r="R1" s="5" t="s">
        <v>78</v>
      </c>
      <c r="S1" s="5" t="s">
        <v>79</v>
      </c>
      <c r="T1" s="5" t="s">
        <v>80</v>
      </c>
      <c r="U1" s="5" t="s">
        <v>81</v>
      </c>
      <c r="V1" s="5" t="s">
        <v>82</v>
      </c>
      <c r="W1" s="5" t="s">
        <v>83</v>
      </c>
      <c r="X1" s="5" t="s">
        <v>84</v>
      </c>
      <c r="Y1" s="5" t="s">
        <v>85</v>
      </c>
      <c r="Z1" s="5" t="s">
        <v>86</v>
      </c>
      <c r="AA1" s="5" t="s">
        <v>87</v>
      </c>
      <c r="AB1" s="5" t="s">
        <v>88</v>
      </c>
      <c r="AC1" s="5" t="s">
        <v>89</v>
      </c>
      <c r="AD1" s="5" t="s">
        <v>90</v>
      </c>
      <c r="AE1" s="5" t="s">
        <v>91</v>
      </c>
      <c r="AF1" s="5" t="s">
        <v>92</v>
      </c>
      <c r="AG1" s="5" t="s">
        <v>93</v>
      </c>
      <c r="AH1" s="5" t="s">
        <v>94</v>
      </c>
      <c r="AI1" s="5" t="s">
        <v>95</v>
      </c>
      <c r="AJ1" s="5" t="s">
        <v>96</v>
      </c>
      <c r="AK1" s="5" t="s">
        <v>97</v>
      </c>
      <c r="AL1" s="5" t="s">
        <v>98</v>
      </c>
      <c r="AM1" s="5" t="s">
        <v>99</v>
      </c>
      <c r="AN1" s="5" t="s">
        <v>100</v>
      </c>
      <c r="AO1" s="5" t="s">
        <v>101</v>
      </c>
    </row>
    <row r="2" spans="1:41">
      <c r="A2" s="5"/>
      <c r="B2" s="5" t="s">
        <v>102</v>
      </c>
      <c r="C2" s="5" t="s">
        <v>102</v>
      </c>
      <c r="D2" s="5" t="s">
        <v>102</v>
      </c>
      <c r="E2" s="5" t="s">
        <v>102</v>
      </c>
      <c r="F2" s="5" t="s">
        <v>102</v>
      </c>
      <c r="G2" s="5" t="s">
        <v>102</v>
      </c>
      <c r="H2" s="5" t="s">
        <v>102</v>
      </c>
      <c r="I2" s="5" t="s">
        <v>102</v>
      </c>
      <c r="J2" s="5" t="s">
        <v>102</v>
      </c>
      <c r="K2" s="5" t="s">
        <v>102</v>
      </c>
      <c r="L2" s="5" t="s">
        <v>102</v>
      </c>
      <c r="M2" s="5" t="s">
        <v>102</v>
      </c>
      <c r="N2" s="5" t="s">
        <v>102</v>
      </c>
      <c r="O2" s="5" t="s">
        <v>102</v>
      </c>
      <c r="P2" s="5" t="s">
        <v>102</v>
      </c>
      <c r="Q2" s="5" t="s">
        <v>102</v>
      </c>
      <c r="R2" s="5" t="s">
        <v>102</v>
      </c>
      <c r="S2" s="5" t="s">
        <v>102</v>
      </c>
      <c r="T2" s="5" t="s">
        <v>102</v>
      </c>
      <c r="U2" s="5" t="s">
        <v>102</v>
      </c>
      <c r="V2" s="5" t="s">
        <v>102</v>
      </c>
      <c r="W2" s="5" t="s">
        <v>102</v>
      </c>
      <c r="X2" s="5" t="s">
        <v>102</v>
      </c>
      <c r="Y2" s="5" t="s">
        <v>102</v>
      </c>
      <c r="Z2" s="5" t="s">
        <v>102</v>
      </c>
      <c r="AA2" s="5" t="s">
        <v>102</v>
      </c>
      <c r="AB2" s="5" t="s">
        <v>102</v>
      </c>
      <c r="AC2" s="5" t="s">
        <v>102</v>
      </c>
      <c r="AD2" s="5" t="s">
        <v>102</v>
      </c>
      <c r="AE2" s="5" t="s">
        <v>102</v>
      </c>
      <c r="AF2" s="5" t="s">
        <v>102</v>
      </c>
      <c r="AG2" s="5" t="s">
        <v>102</v>
      </c>
      <c r="AH2" s="5" t="s">
        <v>102</v>
      </c>
      <c r="AI2" s="5" t="s">
        <v>102</v>
      </c>
      <c r="AJ2" s="5" t="s">
        <v>102</v>
      </c>
      <c r="AK2" s="5" t="s">
        <v>102</v>
      </c>
      <c r="AL2" s="5" t="s">
        <v>102</v>
      </c>
      <c r="AM2" s="5" t="s">
        <v>102</v>
      </c>
      <c r="AN2" s="5" t="s">
        <v>102</v>
      </c>
      <c r="AO2" s="5" t="s">
        <v>102</v>
      </c>
    </row>
    <row r="3" spans="1:41">
      <c r="A3" s="5" t="s">
        <v>103</v>
      </c>
      <c r="B3" s="6">
        <v>3.7970000000000002</v>
      </c>
      <c r="C3" s="6">
        <v>1.4999999999999999E-2</v>
      </c>
      <c r="D3" s="6">
        <v>0.372</v>
      </c>
      <c r="E3" s="7">
        <v>4.556</v>
      </c>
      <c r="F3" s="8">
        <v>8.0000000000000002E-3</v>
      </c>
      <c r="G3" s="6">
        <v>4.2999999999999997E-2</v>
      </c>
      <c r="H3" s="6">
        <v>6.4000000000000001E-2</v>
      </c>
      <c r="I3" s="7">
        <v>5.032</v>
      </c>
      <c r="J3" s="7">
        <v>1.77</v>
      </c>
      <c r="K3" s="6">
        <v>0.16400000000000001</v>
      </c>
      <c r="L3" s="6">
        <v>1.2999999999999999E-2</v>
      </c>
      <c r="M3" s="6">
        <v>0.55800000000000005</v>
      </c>
      <c r="N3" s="7">
        <v>2.3740000000000001</v>
      </c>
      <c r="O3" s="6">
        <v>7.6999999999999999E-2</v>
      </c>
      <c r="P3" s="6">
        <v>8.0000000000000002E-3</v>
      </c>
      <c r="Q3" s="6">
        <v>0.14799999999999999</v>
      </c>
      <c r="R3" s="7">
        <v>5.3680000000000003</v>
      </c>
      <c r="S3" s="6">
        <v>1.0129999999999999</v>
      </c>
      <c r="T3" s="6">
        <v>1.524</v>
      </c>
      <c r="U3" s="6">
        <v>8.5000000000000006E-2</v>
      </c>
      <c r="V3" s="6">
        <v>0.42199999999999999</v>
      </c>
      <c r="W3" s="6">
        <v>7.2999999999999995E-2</v>
      </c>
      <c r="X3" s="6">
        <v>0.47399999999999998</v>
      </c>
      <c r="Y3" s="7">
        <v>3.8039999999999998</v>
      </c>
      <c r="Z3" s="8">
        <v>0.125</v>
      </c>
      <c r="AA3" s="6">
        <v>0.19</v>
      </c>
      <c r="AB3" s="6">
        <v>0.24099999999999999</v>
      </c>
      <c r="AC3" s="8">
        <v>1.0999999999999999E-2</v>
      </c>
      <c r="AD3" s="6">
        <v>2.4E-2</v>
      </c>
      <c r="AE3" s="6">
        <v>0.154</v>
      </c>
      <c r="AF3" s="6">
        <v>0.04</v>
      </c>
      <c r="AG3" s="6">
        <v>4.9000000000000002E-2</v>
      </c>
      <c r="AH3" s="6">
        <v>1.4999999999999999E-2</v>
      </c>
      <c r="AI3" s="6">
        <v>6.5000000000000002E-2</v>
      </c>
      <c r="AJ3" s="6">
        <v>2.7E-2</v>
      </c>
      <c r="AK3" s="6">
        <v>1.5980000000000001</v>
      </c>
      <c r="AL3" s="6">
        <v>0.59899999999999998</v>
      </c>
      <c r="AM3" s="6">
        <v>0.27800000000000002</v>
      </c>
      <c r="AN3" s="6">
        <v>0.61199999999999999</v>
      </c>
      <c r="AO3" s="6">
        <v>0.249</v>
      </c>
    </row>
    <row r="4" spans="1:41">
      <c r="A4" s="5" t="s">
        <v>104</v>
      </c>
      <c r="B4" s="6">
        <v>2.4969999999999999</v>
      </c>
      <c r="C4" s="6">
        <v>1.6E-2</v>
      </c>
      <c r="D4" s="6">
        <v>0.63900000000000001</v>
      </c>
      <c r="E4" s="6">
        <v>2.827</v>
      </c>
      <c r="F4" s="8">
        <v>7.0000000000000001E-3</v>
      </c>
      <c r="G4" s="6">
        <v>7.8E-2</v>
      </c>
      <c r="H4" s="6">
        <v>8.1000000000000003E-2</v>
      </c>
      <c r="I4" s="7">
        <v>3.3820000000000001</v>
      </c>
      <c r="J4" s="6">
        <v>1.395</v>
      </c>
      <c r="K4" s="6">
        <v>6.8000000000000005E-2</v>
      </c>
      <c r="L4" s="6">
        <v>0.01</v>
      </c>
      <c r="M4" s="6">
        <v>0.20599999999999999</v>
      </c>
      <c r="N4" s="7">
        <v>1.843</v>
      </c>
      <c r="O4" s="6">
        <v>0.14699999999999999</v>
      </c>
      <c r="P4" s="8">
        <v>0</v>
      </c>
      <c r="Q4" s="6">
        <v>0.151</v>
      </c>
      <c r="R4" s="7">
        <v>3.3660000000000001</v>
      </c>
      <c r="S4" s="6">
        <v>0.86499999999999999</v>
      </c>
      <c r="T4" s="6">
        <v>0.90200000000000002</v>
      </c>
      <c r="U4" s="6">
        <v>5.8999999999999997E-2</v>
      </c>
      <c r="V4" s="6">
        <v>0.76</v>
      </c>
      <c r="W4" s="8">
        <v>1.0999999999999999E-2</v>
      </c>
      <c r="X4" s="6">
        <v>0.13100000000000001</v>
      </c>
      <c r="Y4" s="6">
        <v>2.069</v>
      </c>
      <c r="Z4" s="6">
        <v>0.19700000000000001</v>
      </c>
      <c r="AA4" s="8">
        <v>1.4E-2</v>
      </c>
      <c r="AB4" s="6">
        <v>0.188</v>
      </c>
      <c r="AC4" s="6">
        <v>2.1999999999999999E-2</v>
      </c>
      <c r="AD4" s="8">
        <v>6.0000000000000001E-3</v>
      </c>
      <c r="AE4" s="6">
        <v>4.2999999999999997E-2</v>
      </c>
      <c r="AF4" s="8">
        <v>6.0000000000000001E-3</v>
      </c>
      <c r="AG4" s="6">
        <v>5.6000000000000001E-2</v>
      </c>
      <c r="AH4" s="6">
        <v>1.0999999999999999E-2</v>
      </c>
      <c r="AI4" s="6">
        <v>5.7000000000000002E-2</v>
      </c>
      <c r="AJ4" s="6">
        <v>3.2000000000000001E-2</v>
      </c>
      <c r="AK4" s="6">
        <v>0.65</v>
      </c>
      <c r="AL4" s="6">
        <v>0.39400000000000002</v>
      </c>
      <c r="AM4" s="6">
        <v>0.23400000000000001</v>
      </c>
      <c r="AN4" s="6">
        <v>0.437</v>
      </c>
      <c r="AO4" s="6">
        <v>0.223</v>
      </c>
    </row>
    <row r="5" spans="1:41">
      <c r="A5" s="5" t="s">
        <v>105</v>
      </c>
      <c r="B5" s="6">
        <v>0.90300000000000002</v>
      </c>
      <c r="C5" s="6">
        <v>0.66100000000000003</v>
      </c>
      <c r="D5" s="6">
        <v>0.29599999999999999</v>
      </c>
      <c r="E5" s="6">
        <v>0.47399999999999998</v>
      </c>
      <c r="F5" s="6">
        <v>1.0999999999999999E-2</v>
      </c>
      <c r="G5" s="8">
        <v>2.9000000000000001E-2</v>
      </c>
      <c r="H5" s="6">
        <v>6.5000000000000002E-2</v>
      </c>
      <c r="I5" s="6">
        <v>0.68200000000000005</v>
      </c>
      <c r="J5" s="6">
        <v>5.7000000000000002E-2</v>
      </c>
      <c r="K5" s="6">
        <v>0.39</v>
      </c>
      <c r="L5" s="6">
        <v>3.0000000000000001E-3</v>
      </c>
      <c r="M5" s="6">
        <v>0.498</v>
      </c>
      <c r="N5" s="6">
        <v>0.432</v>
      </c>
      <c r="O5" s="6">
        <v>3.4000000000000002E-2</v>
      </c>
      <c r="P5" s="8">
        <v>4.0000000000000001E-3</v>
      </c>
      <c r="Q5" s="6">
        <v>7.0999999999999994E-2</v>
      </c>
      <c r="R5" s="6">
        <v>0.70399999999999996</v>
      </c>
      <c r="S5" s="6">
        <v>0.26900000000000002</v>
      </c>
      <c r="T5" s="8">
        <v>0.223</v>
      </c>
      <c r="U5" s="8">
        <v>4.0000000000000001E-3</v>
      </c>
      <c r="V5" s="6">
        <v>0.27200000000000002</v>
      </c>
      <c r="W5" s="8">
        <v>8.9999999999999993E-3</v>
      </c>
      <c r="X5" s="6">
        <v>8.5000000000000006E-2</v>
      </c>
      <c r="Y5" s="6">
        <v>0.39300000000000002</v>
      </c>
      <c r="Z5" s="8">
        <v>0.11600000000000001</v>
      </c>
      <c r="AA5" s="6">
        <v>6.8000000000000005E-2</v>
      </c>
      <c r="AB5" s="8">
        <v>8.1000000000000003E-2</v>
      </c>
      <c r="AC5" s="8">
        <v>2E-3</v>
      </c>
      <c r="AD5" s="8">
        <v>7.0000000000000001E-3</v>
      </c>
      <c r="AE5" s="6">
        <v>0.185</v>
      </c>
      <c r="AF5" s="6">
        <v>0.01</v>
      </c>
      <c r="AG5" s="6">
        <v>0.224</v>
      </c>
      <c r="AH5" s="6">
        <v>6.0000000000000001E-3</v>
      </c>
      <c r="AI5" s="6">
        <v>0.13700000000000001</v>
      </c>
      <c r="AJ5" s="6">
        <v>1.0999999999999999E-2</v>
      </c>
      <c r="AK5" s="6">
        <v>0.14199999999999999</v>
      </c>
      <c r="AL5" s="6">
        <v>0.20300000000000001</v>
      </c>
      <c r="AM5" s="8">
        <v>0.11</v>
      </c>
      <c r="AN5" s="6">
        <v>0.23</v>
      </c>
      <c r="AO5" s="8">
        <v>9.7000000000000003E-2</v>
      </c>
    </row>
    <row r="6" spans="1:41">
      <c r="A6" s="5" t="s">
        <v>106</v>
      </c>
      <c r="B6" s="8">
        <v>9.9000000000000005E-2</v>
      </c>
      <c r="C6" s="6">
        <v>0.01</v>
      </c>
      <c r="D6" s="6">
        <v>7.6999999999999999E-2</v>
      </c>
      <c r="E6" s="6">
        <v>0.14399999999999999</v>
      </c>
      <c r="F6" s="8">
        <v>6.0000000000000001E-3</v>
      </c>
      <c r="G6" s="6">
        <v>4.7E-2</v>
      </c>
      <c r="H6" s="6">
        <v>7.0000000000000007E-2</v>
      </c>
      <c r="I6" s="8">
        <v>0.03</v>
      </c>
      <c r="J6" s="8">
        <v>6.0000000000000001E-3</v>
      </c>
      <c r="K6" s="6">
        <v>3.6999999999999998E-2</v>
      </c>
      <c r="L6" s="8">
        <v>1E-3</v>
      </c>
      <c r="M6" s="8">
        <v>0.14000000000000001</v>
      </c>
      <c r="N6" s="8">
        <v>3.9E-2</v>
      </c>
      <c r="O6" s="6">
        <v>1.0999999999999999E-2</v>
      </c>
      <c r="P6" s="6">
        <v>5.0000000000000001E-3</v>
      </c>
      <c r="Q6" s="8">
        <v>2.1000000000000001E-2</v>
      </c>
      <c r="R6" s="8">
        <v>0.255</v>
      </c>
      <c r="S6" s="8">
        <v>0.19700000000000001</v>
      </c>
      <c r="T6" s="8">
        <v>0.34399999999999997</v>
      </c>
      <c r="U6" s="6">
        <v>1.7000000000000001E-2</v>
      </c>
      <c r="V6" s="6">
        <v>0.28399999999999997</v>
      </c>
      <c r="W6" s="6">
        <v>2.3E-2</v>
      </c>
      <c r="X6" s="6">
        <v>4.7E-2</v>
      </c>
      <c r="Y6" s="6">
        <v>0.39400000000000002</v>
      </c>
      <c r="Z6" s="8">
        <v>0.109</v>
      </c>
      <c r="AA6" s="6">
        <v>3.5000000000000003E-2</v>
      </c>
      <c r="AB6" s="8">
        <v>0.14199999999999999</v>
      </c>
      <c r="AC6" s="6">
        <v>1.7000000000000001E-2</v>
      </c>
      <c r="AD6" s="8">
        <v>6.0000000000000001E-3</v>
      </c>
      <c r="AE6" s="6">
        <v>8.2000000000000003E-2</v>
      </c>
      <c r="AF6" s="6">
        <v>8.0000000000000002E-3</v>
      </c>
      <c r="AG6" s="6">
        <v>5.5E-2</v>
      </c>
      <c r="AH6" s="8">
        <v>5.0000000000000001E-3</v>
      </c>
      <c r="AI6" s="8">
        <v>0.02</v>
      </c>
      <c r="AJ6" s="6">
        <v>8.0000000000000002E-3</v>
      </c>
      <c r="AK6" s="6">
        <v>0.05</v>
      </c>
      <c r="AL6" s="6">
        <v>0.221</v>
      </c>
      <c r="AM6" s="6">
        <v>0.16400000000000001</v>
      </c>
      <c r="AN6" s="6">
        <v>0.25700000000000001</v>
      </c>
      <c r="AO6" s="6">
        <v>0.188</v>
      </c>
    </row>
    <row r="7" spans="1:41">
      <c r="A7" s="5" t="s">
        <v>107</v>
      </c>
      <c r="B7" s="6">
        <v>2.3650000000000002</v>
      </c>
      <c r="C7" s="6">
        <v>1.2999999999999999E-2</v>
      </c>
      <c r="D7" s="6">
        <v>0.14699999999999999</v>
      </c>
      <c r="E7" s="6">
        <v>3.867</v>
      </c>
      <c r="F7" s="8">
        <v>6.0000000000000001E-3</v>
      </c>
      <c r="G7" s="6">
        <v>9.2999999999999999E-2</v>
      </c>
      <c r="H7" s="6">
        <v>7.9000000000000001E-2</v>
      </c>
      <c r="I7" s="7">
        <v>4.3730000000000002</v>
      </c>
      <c r="J7" s="6">
        <v>1.29</v>
      </c>
      <c r="K7" s="8">
        <v>3.4000000000000002E-2</v>
      </c>
      <c r="L7" s="8">
        <v>1E-3</v>
      </c>
      <c r="M7" s="6">
        <v>0.45500000000000002</v>
      </c>
      <c r="N7" s="7">
        <v>1.9319999999999999</v>
      </c>
      <c r="O7" s="6">
        <v>0.11600000000000001</v>
      </c>
      <c r="P7" s="8">
        <v>0</v>
      </c>
      <c r="Q7" s="6">
        <v>2.2530000000000001</v>
      </c>
      <c r="R7" s="7">
        <v>3.8410000000000002</v>
      </c>
      <c r="S7" s="6">
        <v>0.96599999999999997</v>
      </c>
      <c r="T7" s="6">
        <v>1.026</v>
      </c>
      <c r="U7" s="6">
        <v>3.1E-2</v>
      </c>
      <c r="V7" s="6">
        <v>0.38</v>
      </c>
      <c r="W7" s="6">
        <v>5.8000000000000003E-2</v>
      </c>
      <c r="X7" s="6">
        <v>4.7E-2</v>
      </c>
      <c r="Y7" s="6">
        <v>1.8520000000000001</v>
      </c>
      <c r="Z7" s="8">
        <v>0.113</v>
      </c>
      <c r="AA7" s="8">
        <v>1.6E-2</v>
      </c>
      <c r="AB7" s="8">
        <v>0.113</v>
      </c>
      <c r="AC7" s="8">
        <v>4.0000000000000001E-3</v>
      </c>
      <c r="AD7" s="6">
        <v>1.2E-2</v>
      </c>
      <c r="AE7" s="6">
        <v>0.115</v>
      </c>
      <c r="AF7" s="6">
        <v>8.0000000000000002E-3</v>
      </c>
      <c r="AG7" s="8">
        <v>2.3E-2</v>
      </c>
      <c r="AH7" s="6">
        <v>2.1999999999999999E-2</v>
      </c>
      <c r="AI7" s="6">
        <v>5.2999999999999999E-2</v>
      </c>
      <c r="AJ7" s="8">
        <v>0</v>
      </c>
      <c r="AK7" s="6">
        <v>0.25600000000000001</v>
      </c>
      <c r="AL7" s="6">
        <v>0.20300000000000001</v>
      </c>
      <c r="AM7" s="8">
        <v>0.123</v>
      </c>
      <c r="AN7" s="6">
        <v>0.21099999999999999</v>
      </c>
      <c r="AO7" s="6">
        <v>0.16400000000000001</v>
      </c>
    </row>
    <row r="8" spans="1:41">
      <c r="A8" s="5" t="s">
        <v>108</v>
      </c>
      <c r="B8" s="6">
        <v>2.823</v>
      </c>
      <c r="C8" s="6">
        <v>2.7E-2</v>
      </c>
      <c r="D8" s="6">
        <v>0.251</v>
      </c>
      <c r="E8" s="7">
        <v>4.1029999999999998</v>
      </c>
      <c r="F8" s="8">
        <v>4.0000000000000001E-3</v>
      </c>
      <c r="G8" s="6">
        <v>8.4000000000000005E-2</v>
      </c>
      <c r="H8" s="6">
        <v>7.5999999999999998E-2</v>
      </c>
      <c r="I8" s="7">
        <v>4.931</v>
      </c>
      <c r="J8" s="6">
        <v>1.571</v>
      </c>
      <c r="K8" s="6">
        <v>9.0999999999999998E-2</v>
      </c>
      <c r="L8" s="6">
        <v>1.6E-2</v>
      </c>
      <c r="M8" s="6">
        <v>1.0649999999999999</v>
      </c>
      <c r="N8" s="7">
        <v>2.1070000000000002</v>
      </c>
      <c r="O8" s="6">
        <v>0.13600000000000001</v>
      </c>
      <c r="P8" s="6">
        <v>0.01</v>
      </c>
      <c r="Q8" s="6">
        <v>2.8380000000000001</v>
      </c>
      <c r="R8" s="7">
        <v>4.0709999999999997</v>
      </c>
      <c r="S8" s="6">
        <v>1.0569999999999999</v>
      </c>
      <c r="T8" s="6">
        <v>0.95399999999999996</v>
      </c>
      <c r="U8" s="6">
        <v>5.6000000000000001E-2</v>
      </c>
      <c r="V8" s="6">
        <v>0.35799999999999998</v>
      </c>
      <c r="W8" s="6">
        <v>2.9000000000000001E-2</v>
      </c>
      <c r="X8" s="6">
        <v>9.8000000000000004E-2</v>
      </c>
      <c r="Y8" s="7">
        <v>2.3159999999999998</v>
      </c>
      <c r="Z8" s="6">
        <v>0.21199999999999999</v>
      </c>
      <c r="AA8" s="6">
        <v>0.03</v>
      </c>
      <c r="AB8" s="6">
        <v>0.248</v>
      </c>
      <c r="AC8" s="8">
        <v>6.0000000000000001E-3</v>
      </c>
      <c r="AD8" s="8">
        <v>5.0000000000000001E-3</v>
      </c>
      <c r="AE8" s="6">
        <v>3.2000000000000001E-2</v>
      </c>
      <c r="AF8" s="6">
        <v>1.4999999999999999E-2</v>
      </c>
      <c r="AG8" s="8">
        <v>1.7000000000000001E-2</v>
      </c>
      <c r="AH8" s="8">
        <v>5.0000000000000001E-3</v>
      </c>
      <c r="AI8" s="6">
        <v>6.5000000000000002E-2</v>
      </c>
      <c r="AJ8" s="6">
        <v>1.7000000000000001E-2</v>
      </c>
      <c r="AK8" s="6">
        <v>0.186</v>
      </c>
      <c r="AL8" s="6">
        <v>0.45100000000000001</v>
      </c>
      <c r="AM8" s="6">
        <v>0.371</v>
      </c>
      <c r="AN8" s="6">
        <v>0.55800000000000005</v>
      </c>
      <c r="AO8" s="6">
        <v>0.28599999999999998</v>
      </c>
    </row>
    <row r="9" spans="1:41">
      <c r="A9" s="5" t="s">
        <v>109</v>
      </c>
      <c r="B9" s="6">
        <v>5.7539999999999996</v>
      </c>
      <c r="C9" s="6">
        <v>2.1999999999999999E-2</v>
      </c>
      <c r="D9" s="6">
        <v>0.65300000000000002</v>
      </c>
      <c r="E9" s="7">
        <v>4.7249999999999996</v>
      </c>
      <c r="F9" s="8">
        <v>0</v>
      </c>
      <c r="G9" s="6">
        <v>7.0999999999999994E-2</v>
      </c>
      <c r="H9" s="6">
        <v>7.0999999999999994E-2</v>
      </c>
      <c r="I9" s="7">
        <v>6.7060000000000004</v>
      </c>
      <c r="J9" s="7">
        <v>1.698</v>
      </c>
      <c r="K9" s="8">
        <v>3.2000000000000001E-2</v>
      </c>
      <c r="L9" s="6">
        <v>7.0000000000000001E-3</v>
      </c>
      <c r="M9" s="6">
        <v>1.1020000000000001</v>
      </c>
      <c r="N9" s="7">
        <v>2.1989999999999998</v>
      </c>
      <c r="O9" s="6">
        <v>0.16600000000000001</v>
      </c>
      <c r="P9" s="6">
        <v>1.4999999999999999E-2</v>
      </c>
      <c r="Q9" s="6">
        <v>2.8370000000000002</v>
      </c>
      <c r="R9" s="7">
        <v>4.3070000000000004</v>
      </c>
      <c r="S9" s="6">
        <v>1.514</v>
      </c>
      <c r="T9" s="6">
        <v>1.446</v>
      </c>
      <c r="U9" s="6">
        <v>4.5999999999999999E-2</v>
      </c>
      <c r="V9" s="6">
        <v>1.069</v>
      </c>
      <c r="W9" s="8">
        <v>1.7000000000000001E-2</v>
      </c>
      <c r="X9" s="6">
        <v>0.34799999999999998</v>
      </c>
      <c r="Y9" s="7">
        <v>2.9990000000000001</v>
      </c>
      <c r="Z9" s="8">
        <v>0.12</v>
      </c>
      <c r="AA9" s="6">
        <v>0.109</v>
      </c>
      <c r="AB9" s="6">
        <v>0.28100000000000003</v>
      </c>
      <c r="AC9" s="6">
        <v>3.5999999999999997E-2</v>
      </c>
      <c r="AD9" s="6">
        <v>8.8999999999999996E-2</v>
      </c>
      <c r="AE9" s="6">
        <v>0.14199999999999999</v>
      </c>
      <c r="AF9" s="6">
        <v>3.4000000000000002E-2</v>
      </c>
      <c r="AG9" s="8">
        <v>0.01</v>
      </c>
      <c r="AH9" s="6">
        <v>1.0999999999999999E-2</v>
      </c>
      <c r="AI9" s="6">
        <v>3.1E-2</v>
      </c>
      <c r="AJ9" s="6">
        <v>1.6E-2</v>
      </c>
      <c r="AK9" s="6">
        <v>0.23400000000000001</v>
      </c>
      <c r="AL9" s="6">
        <v>0.35899999999999999</v>
      </c>
      <c r="AM9" s="6">
        <v>0.20300000000000001</v>
      </c>
      <c r="AN9" s="6">
        <v>0.39100000000000001</v>
      </c>
      <c r="AO9" s="6">
        <v>0.17399999999999999</v>
      </c>
    </row>
    <row r="10" spans="1:41">
      <c r="A10" s="5" t="s">
        <v>110</v>
      </c>
      <c r="B10" s="6">
        <v>5.1390000000000002</v>
      </c>
      <c r="C10" s="6">
        <v>2.1999999999999999E-2</v>
      </c>
      <c r="D10" s="6">
        <v>0.32600000000000001</v>
      </c>
      <c r="E10" s="7">
        <v>5.0359999999999996</v>
      </c>
      <c r="F10" s="6">
        <v>1.0999999999999999E-2</v>
      </c>
      <c r="G10" s="6">
        <v>7.8E-2</v>
      </c>
      <c r="H10" s="8">
        <v>5.2999999999999999E-2</v>
      </c>
      <c r="I10" s="7">
        <v>5.9470000000000001</v>
      </c>
      <c r="J10" s="7">
        <v>2.7549999999999999</v>
      </c>
      <c r="K10" s="6">
        <v>0.10199999999999999</v>
      </c>
      <c r="L10" s="6">
        <v>7.0000000000000001E-3</v>
      </c>
      <c r="M10" s="6">
        <v>1.292</v>
      </c>
      <c r="N10" s="7">
        <v>2.1309999999999998</v>
      </c>
      <c r="O10" s="6">
        <v>0.14899999999999999</v>
      </c>
      <c r="P10" s="8">
        <v>3.0000000000000001E-3</v>
      </c>
      <c r="Q10" s="6">
        <v>0.82</v>
      </c>
      <c r="R10" s="7">
        <v>6.2130000000000001</v>
      </c>
      <c r="S10" s="6">
        <v>1.512</v>
      </c>
      <c r="T10" s="6">
        <v>1.5569999999999999</v>
      </c>
      <c r="U10" s="6">
        <v>9.7000000000000003E-2</v>
      </c>
      <c r="V10" s="6">
        <v>0.69399999999999995</v>
      </c>
      <c r="W10" s="8">
        <v>8.9999999999999993E-3</v>
      </c>
      <c r="X10" s="6">
        <v>0.25600000000000001</v>
      </c>
      <c r="Y10" s="7">
        <v>3.6469999999999998</v>
      </c>
      <c r="Z10" s="8">
        <v>0.11700000000000001</v>
      </c>
      <c r="AA10" s="6">
        <v>0.11899999999999999</v>
      </c>
      <c r="AB10" s="6">
        <v>0.255</v>
      </c>
      <c r="AC10" s="8">
        <v>1.0999999999999999E-2</v>
      </c>
      <c r="AD10" s="6">
        <v>6.0999999999999999E-2</v>
      </c>
      <c r="AE10" s="6">
        <v>0.111</v>
      </c>
      <c r="AF10" s="6">
        <v>3.7999999999999999E-2</v>
      </c>
      <c r="AG10" s="6">
        <v>7.8E-2</v>
      </c>
      <c r="AH10" s="6">
        <v>0.01</v>
      </c>
      <c r="AI10" s="6">
        <v>2.7E-2</v>
      </c>
      <c r="AJ10" s="6">
        <v>1.4E-2</v>
      </c>
      <c r="AK10" s="6">
        <v>0.45</v>
      </c>
      <c r="AL10" s="6">
        <v>0.27300000000000002</v>
      </c>
      <c r="AM10" s="6">
        <v>0.13800000000000001</v>
      </c>
      <c r="AN10" s="6">
        <v>0.248</v>
      </c>
      <c r="AO10" s="8">
        <v>0.126</v>
      </c>
    </row>
    <row r="11" spans="1:41">
      <c r="A11" s="5" t="s">
        <v>111</v>
      </c>
      <c r="B11" s="6">
        <v>3.2050000000000001</v>
      </c>
      <c r="C11" s="6">
        <v>0.01</v>
      </c>
      <c r="D11" s="6">
        <v>0.124</v>
      </c>
      <c r="E11" s="6">
        <v>3.2639999999999998</v>
      </c>
      <c r="F11" s="8">
        <v>6.0000000000000001E-3</v>
      </c>
      <c r="G11" s="6">
        <v>6.7000000000000004E-2</v>
      </c>
      <c r="H11" s="6">
        <v>7.0999999999999994E-2</v>
      </c>
      <c r="I11" s="7">
        <v>3.1920000000000002</v>
      </c>
      <c r="J11" s="7">
        <v>1.7250000000000001</v>
      </c>
      <c r="K11" s="6">
        <v>0.13700000000000001</v>
      </c>
      <c r="L11" s="6">
        <v>2E-3</v>
      </c>
      <c r="M11" s="6">
        <v>0.59599999999999997</v>
      </c>
      <c r="N11" s="6">
        <v>1.484</v>
      </c>
      <c r="O11" s="6">
        <v>0.183</v>
      </c>
      <c r="P11" s="6">
        <v>3.4000000000000002E-2</v>
      </c>
      <c r="Q11" s="6">
        <v>0.877</v>
      </c>
      <c r="R11" s="7">
        <v>3.774</v>
      </c>
      <c r="S11" s="6">
        <v>1.008</v>
      </c>
      <c r="T11" s="6">
        <v>1.4770000000000001</v>
      </c>
      <c r="U11" s="6">
        <v>8.7999999999999995E-2</v>
      </c>
      <c r="V11" s="6">
        <v>1.4470000000000001</v>
      </c>
      <c r="W11" s="8">
        <v>1.7999999999999999E-2</v>
      </c>
      <c r="X11" s="6">
        <v>0.16900000000000001</v>
      </c>
      <c r="Y11" s="7">
        <v>2.4969999999999999</v>
      </c>
      <c r="Z11" s="8">
        <v>0.14599999999999999</v>
      </c>
      <c r="AA11" s="6">
        <v>4.7E-2</v>
      </c>
      <c r="AB11" s="6">
        <v>0.17599999999999999</v>
      </c>
      <c r="AC11" s="6">
        <v>2.5000000000000001E-2</v>
      </c>
      <c r="AD11" s="6">
        <v>2.4E-2</v>
      </c>
      <c r="AE11" s="6">
        <v>6.0999999999999999E-2</v>
      </c>
      <c r="AF11" s="6">
        <v>0.03</v>
      </c>
      <c r="AG11" s="6">
        <v>3.6999999999999998E-2</v>
      </c>
      <c r="AH11" s="8">
        <v>4.0000000000000001E-3</v>
      </c>
      <c r="AI11" s="6">
        <v>3.3000000000000002E-2</v>
      </c>
      <c r="AJ11" s="8">
        <v>2E-3</v>
      </c>
      <c r="AK11" s="6">
        <v>0.311</v>
      </c>
      <c r="AL11" s="6">
        <v>0.41099999999999998</v>
      </c>
      <c r="AM11" s="6">
        <v>0.24399999999999999</v>
      </c>
      <c r="AN11" s="6">
        <v>0.34300000000000003</v>
      </c>
      <c r="AO11" s="6">
        <v>0.21199999999999999</v>
      </c>
    </row>
    <row r="12" spans="1:41">
      <c r="A12" s="5" t="s">
        <v>112</v>
      </c>
      <c r="B12" s="6">
        <v>1.875</v>
      </c>
      <c r="C12" s="8">
        <v>6.0000000000000001E-3</v>
      </c>
      <c r="D12" s="6">
        <v>0.39100000000000001</v>
      </c>
      <c r="E12" s="6">
        <v>1.754</v>
      </c>
      <c r="F12" s="8">
        <v>8.9999999999999993E-3</v>
      </c>
      <c r="G12" s="6">
        <v>4.1000000000000002E-2</v>
      </c>
      <c r="H12" s="8">
        <v>5.2999999999999999E-2</v>
      </c>
      <c r="I12" s="7">
        <v>2.1360000000000001</v>
      </c>
      <c r="J12" s="6">
        <v>1.117</v>
      </c>
      <c r="K12" s="6">
        <v>6.2E-2</v>
      </c>
      <c r="L12" s="6">
        <v>3.0000000000000001E-3</v>
      </c>
      <c r="M12" s="6">
        <v>0.65100000000000002</v>
      </c>
      <c r="N12" s="6">
        <v>1.046</v>
      </c>
      <c r="O12" s="6">
        <v>0.108</v>
      </c>
      <c r="P12" s="8">
        <v>1E-3</v>
      </c>
      <c r="Q12" s="6">
        <v>0.747</v>
      </c>
      <c r="R12" s="7">
        <v>2.4710000000000001</v>
      </c>
      <c r="S12" s="6">
        <v>0.79900000000000004</v>
      </c>
      <c r="T12" s="6">
        <v>1.226</v>
      </c>
      <c r="U12" s="6">
        <v>2.3E-2</v>
      </c>
      <c r="V12" s="6">
        <v>0.752</v>
      </c>
      <c r="W12" s="8">
        <v>1.4999999999999999E-2</v>
      </c>
      <c r="X12" s="6">
        <v>9.7000000000000003E-2</v>
      </c>
      <c r="Y12" s="6">
        <v>1.659</v>
      </c>
      <c r="Z12" s="8">
        <v>6.6000000000000003E-2</v>
      </c>
      <c r="AA12" s="6">
        <v>3.3000000000000002E-2</v>
      </c>
      <c r="AB12" s="8">
        <v>9.6000000000000002E-2</v>
      </c>
      <c r="AC12" s="8">
        <v>8.0000000000000002E-3</v>
      </c>
      <c r="AD12" s="6">
        <v>2.9000000000000001E-2</v>
      </c>
      <c r="AE12" s="6">
        <v>7.6999999999999999E-2</v>
      </c>
      <c r="AF12" s="6">
        <v>0.01</v>
      </c>
      <c r="AG12" s="6">
        <v>3.7999999999999999E-2</v>
      </c>
      <c r="AH12" s="6">
        <v>1.2E-2</v>
      </c>
      <c r="AI12" s="6">
        <v>6.6000000000000003E-2</v>
      </c>
      <c r="AJ12" s="8">
        <v>0</v>
      </c>
      <c r="AK12" s="6">
        <v>0.25</v>
      </c>
      <c r="AL12" s="6">
        <v>0.22500000000000001</v>
      </c>
      <c r="AM12" s="6">
        <v>0.13100000000000001</v>
      </c>
      <c r="AN12" s="6">
        <v>0.218</v>
      </c>
      <c r="AO12" s="8">
        <v>0.13700000000000001</v>
      </c>
    </row>
    <row r="13" spans="1:41">
      <c r="A13" s="5" t="s">
        <v>113</v>
      </c>
      <c r="B13" s="8">
        <v>9.9000000000000005E-2</v>
      </c>
      <c r="C13" s="6">
        <v>0.01</v>
      </c>
      <c r="D13" s="8">
        <v>0</v>
      </c>
      <c r="E13" s="8">
        <v>9.6000000000000002E-2</v>
      </c>
      <c r="F13" s="8">
        <v>8.9999999999999993E-3</v>
      </c>
      <c r="G13" s="6">
        <v>4.1000000000000002E-2</v>
      </c>
      <c r="H13" s="8">
        <v>5.7000000000000002E-2</v>
      </c>
      <c r="I13" s="8">
        <v>1.7000000000000001E-2</v>
      </c>
      <c r="J13" s="6">
        <v>1.6E-2</v>
      </c>
      <c r="K13" s="6">
        <v>0.05</v>
      </c>
      <c r="L13" s="6">
        <v>5.0000000000000001E-3</v>
      </c>
      <c r="M13" s="6">
        <v>0.24299999999999999</v>
      </c>
      <c r="N13" s="8">
        <v>4.8000000000000001E-2</v>
      </c>
      <c r="O13" s="8">
        <v>2E-3</v>
      </c>
      <c r="P13" s="6">
        <v>8.0000000000000002E-3</v>
      </c>
      <c r="Q13" s="6">
        <v>3.7999999999999999E-2</v>
      </c>
      <c r="R13" s="6">
        <v>0.44600000000000001</v>
      </c>
      <c r="S13" s="8">
        <v>0.20499999999999999</v>
      </c>
      <c r="T13" s="6">
        <v>0.38</v>
      </c>
      <c r="U13" s="6">
        <v>0.04</v>
      </c>
      <c r="V13" s="8">
        <v>0.23799999999999999</v>
      </c>
      <c r="W13" s="8">
        <v>1.9E-2</v>
      </c>
      <c r="X13" s="8">
        <v>1.0999999999999999E-2</v>
      </c>
      <c r="Y13" s="8">
        <v>0.249</v>
      </c>
      <c r="Z13" s="8">
        <v>5.6000000000000001E-2</v>
      </c>
      <c r="AA13" s="8">
        <v>1.7999999999999999E-2</v>
      </c>
      <c r="AB13" s="8">
        <v>0.13300000000000001</v>
      </c>
      <c r="AC13" s="8">
        <v>7.0000000000000001E-3</v>
      </c>
      <c r="AD13" s="6">
        <v>1.2E-2</v>
      </c>
      <c r="AE13" s="6">
        <v>4.4999999999999998E-2</v>
      </c>
      <c r="AF13" s="6">
        <v>1.2999999999999999E-2</v>
      </c>
      <c r="AG13" s="8">
        <v>1.0999999999999999E-2</v>
      </c>
      <c r="AH13" s="6">
        <v>1.2999999999999999E-2</v>
      </c>
      <c r="AI13" s="8">
        <v>2.1999999999999999E-2</v>
      </c>
      <c r="AJ13" s="6">
        <v>8.9999999999999993E-3</v>
      </c>
      <c r="AK13" s="6">
        <v>4.8000000000000001E-2</v>
      </c>
      <c r="AL13" s="6">
        <v>0.28699999999999998</v>
      </c>
      <c r="AM13" s="8">
        <v>0.124</v>
      </c>
      <c r="AN13" s="6">
        <v>0.34599999999999997</v>
      </c>
      <c r="AO13" s="8">
        <v>0.123</v>
      </c>
    </row>
    <row r="14" spans="1:41">
      <c r="A14" s="5" t="s">
        <v>114</v>
      </c>
      <c r="B14" s="6">
        <v>1.746</v>
      </c>
      <c r="C14" s="6">
        <v>1.9E-2</v>
      </c>
      <c r="D14" s="6">
        <v>0.14699999999999999</v>
      </c>
      <c r="E14" s="6">
        <v>1.7370000000000001</v>
      </c>
      <c r="F14" s="8">
        <v>5.0000000000000001E-3</v>
      </c>
      <c r="G14" s="6">
        <v>7.1999999999999995E-2</v>
      </c>
      <c r="H14" s="6">
        <v>6.7000000000000004E-2</v>
      </c>
      <c r="I14" s="7">
        <v>2.16</v>
      </c>
      <c r="J14" s="6">
        <v>0.89400000000000002</v>
      </c>
      <c r="K14" s="6">
        <v>4.3999999999999997E-2</v>
      </c>
      <c r="L14" s="6">
        <v>5.0000000000000001E-3</v>
      </c>
      <c r="M14" s="8">
        <v>0.16200000000000001</v>
      </c>
      <c r="N14" s="6">
        <v>1.0820000000000001</v>
      </c>
      <c r="O14" s="6">
        <v>8.4000000000000005E-2</v>
      </c>
      <c r="P14" s="8">
        <v>0</v>
      </c>
      <c r="Q14" s="6">
        <v>0.77900000000000003</v>
      </c>
      <c r="R14" s="7">
        <v>2.5369999999999999</v>
      </c>
      <c r="S14" s="6">
        <v>0.72799999999999998</v>
      </c>
      <c r="T14" s="6">
        <v>2.1190000000000002</v>
      </c>
      <c r="U14" s="6">
        <v>3.5999999999999997E-2</v>
      </c>
      <c r="V14" s="6">
        <v>0.29399999999999998</v>
      </c>
      <c r="W14" s="6">
        <v>2.4E-2</v>
      </c>
      <c r="X14" s="6">
        <v>8.8999999999999996E-2</v>
      </c>
      <c r="Y14" s="6">
        <v>1.6930000000000001</v>
      </c>
      <c r="Z14" s="8">
        <v>0.13100000000000001</v>
      </c>
      <c r="AA14" s="6">
        <v>0.05</v>
      </c>
      <c r="AB14" s="6">
        <v>0.191</v>
      </c>
      <c r="AC14" s="6">
        <v>1.6E-2</v>
      </c>
      <c r="AD14" s="6">
        <v>2.1000000000000001E-2</v>
      </c>
      <c r="AE14" s="6">
        <v>0.11700000000000001</v>
      </c>
      <c r="AF14" s="6">
        <v>1.7000000000000001E-2</v>
      </c>
      <c r="AG14" s="6">
        <v>5.7000000000000002E-2</v>
      </c>
      <c r="AH14" s="6">
        <v>1.4999999999999999E-2</v>
      </c>
      <c r="AI14" s="6">
        <v>9.6000000000000002E-2</v>
      </c>
      <c r="AJ14" s="6">
        <v>2.8000000000000001E-2</v>
      </c>
      <c r="AK14" s="6">
        <v>0.183</v>
      </c>
      <c r="AL14" s="6">
        <v>0.42599999999999999</v>
      </c>
      <c r="AM14" s="6">
        <v>0.25800000000000001</v>
      </c>
      <c r="AN14" s="6">
        <v>0.442</v>
      </c>
      <c r="AO14" s="6">
        <v>0.34100000000000003</v>
      </c>
    </row>
    <row r="15" spans="1:41">
      <c r="A15" s="5" t="s">
        <v>115</v>
      </c>
      <c r="B15" s="6">
        <v>1.669</v>
      </c>
      <c r="C15" s="6">
        <v>2.3E-2</v>
      </c>
      <c r="D15" s="8">
        <v>6.2E-2</v>
      </c>
      <c r="E15" s="6">
        <v>1.8069999999999999</v>
      </c>
      <c r="F15" s="8">
        <v>1E-3</v>
      </c>
      <c r="G15" s="6">
        <v>7.8E-2</v>
      </c>
      <c r="H15" s="6">
        <v>6.0999999999999999E-2</v>
      </c>
      <c r="I15" s="7">
        <v>1.9650000000000001</v>
      </c>
      <c r="J15" s="6">
        <v>1.02</v>
      </c>
      <c r="K15" s="8">
        <v>3.2000000000000001E-2</v>
      </c>
      <c r="L15" s="6">
        <v>1.2E-2</v>
      </c>
      <c r="M15" s="6">
        <v>0.254</v>
      </c>
      <c r="N15" s="6">
        <v>0.96699999999999997</v>
      </c>
      <c r="O15" s="6">
        <v>5.8999999999999997E-2</v>
      </c>
      <c r="P15" s="8">
        <v>4.0000000000000001E-3</v>
      </c>
      <c r="Q15" s="6">
        <v>0.878</v>
      </c>
      <c r="R15" s="7">
        <v>2.8809999999999998</v>
      </c>
      <c r="S15" s="6">
        <v>0.75</v>
      </c>
      <c r="T15" s="6">
        <v>1.0309999999999999</v>
      </c>
      <c r="U15" s="6">
        <v>7.0999999999999994E-2</v>
      </c>
      <c r="V15" s="6">
        <v>0.37</v>
      </c>
      <c r="W15" s="8">
        <v>1.7999999999999999E-2</v>
      </c>
      <c r="X15" s="8">
        <v>3.5999999999999997E-2</v>
      </c>
      <c r="Y15" s="6">
        <v>1.6419999999999999</v>
      </c>
      <c r="Z15" s="8">
        <v>9.9000000000000005E-2</v>
      </c>
      <c r="AA15" s="6">
        <v>0.04</v>
      </c>
      <c r="AB15" s="8">
        <v>0.14000000000000001</v>
      </c>
      <c r="AC15" s="6">
        <v>2.1000000000000001E-2</v>
      </c>
      <c r="AD15" s="6">
        <v>1.2E-2</v>
      </c>
      <c r="AE15" s="6">
        <v>6.6000000000000003E-2</v>
      </c>
      <c r="AF15" s="8">
        <v>0</v>
      </c>
      <c r="AG15" s="6">
        <v>4.2999999999999997E-2</v>
      </c>
      <c r="AH15" s="8">
        <v>5.0000000000000001E-3</v>
      </c>
      <c r="AI15" s="8">
        <v>2.1999999999999999E-2</v>
      </c>
      <c r="AJ15" s="6">
        <v>7.0000000000000001E-3</v>
      </c>
      <c r="AK15" s="6">
        <v>0.217</v>
      </c>
      <c r="AL15" s="6">
        <v>0.28899999999999998</v>
      </c>
      <c r="AM15" s="6">
        <v>0.17100000000000001</v>
      </c>
      <c r="AN15" s="6">
        <v>0.30399999999999999</v>
      </c>
      <c r="AO15" s="6">
        <v>0.18</v>
      </c>
    </row>
    <row r="16" spans="1:41">
      <c r="A16" s="5" t="s">
        <v>116</v>
      </c>
      <c r="B16" s="6">
        <v>1.8360000000000001</v>
      </c>
      <c r="C16" s="6">
        <v>1.0999999999999999E-2</v>
      </c>
      <c r="D16" s="6">
        <v>0.111</v>
      </c>
      <c r="E16" s="6">
        <v>2.3279999999999998</v>
      </c>
      <c r="F16" s="6">
        <v>1.4E-2</v>
      </c>
      <c r="G16" s="6">
        <v>5.6000000000000001E-2</v>
      </c>
      <c r="H16" s="6">
        <v>8.1000000000000003E-2</v>
      </c>
      <c r="I16" s="7">
        <v>2.4910000000000001</v>
      </c>
      <c r="J16" s="6">
        <v>1.137</v>
      </c>
      <c r="K16" s="6">
        <v>4.2000000000000003E-2</v>
      </c>
      <c r="L16" s="8">
        <v>1E-3</v>
      </c>
      <c r="M16" s="6">
        <v>0.55400000000000005</v>
      </c>
      <c r="N16" s="6">
        <v>1.097</v>
      </c>
      <c r="O16" s="6">
        <v>0.123</v>
      </c>
      <c r="P16" s="6">
        <v>5.0000000000000001E-3</v>
      </c>
      <c r="Q16" s="6">
        <v>1.0780000000000001</v>
      </c>
      <c r="R16" s="7">
        <v>2.8719999999999999</v>
      </c>
      <c r="S16" s="6">
        <v>0.81899999999999995</v>
      </c>
      <c r="T16" s="6">
        <v>0.95</v>
      </c>
      <c r="U16" s="6">
        <v>5.2999999999999999E-2</v>
      </c>
      <c r="V16" s="6">
        <v>0.77</v>
      </c>
      <c r="W16" s="6">
        <v>2.9000000000000001E-2</v>
      </c>
      <c r="X16" s="6">
        <v>6.7000000000000004E-2</v>
      </c>
      <c r="Y16" s="6">
        <v>1.716</v>
      </c>
      <c r="Z16" s="8">
        <v>7.9000000000000001E-2</v>
      </c>
      <c r="AA16" s="6">
        <v>4.1000000000000002E-2</v>
      </c>
      <c r="AB16" s="8">
        <v>0.14699999999999999</v>
      </c>
      <c r="AC16" s="8">
        <v>1.0999999999999999E-2</v>
      </c>
      <c r="AD16" s="8">
        <v>5.0000000000000001E-3</v>
      </c>
      <c r="AE16" s="6">
        <v>0.109</v>
      </c>
      <c r="AF16" s="6">
        <v>8.9999999999999993E-3</v>
      </c>
      <c r="AG16" s="6">
        <v>0.08</v>
      </c>
      <c r="AH16" s="6">
        <v>8.9999999999999993E-3</v>
      </c>
      <c r="AI16" s="8">
        <v>0.02</v>
      </c>
      <c r="AJ16" s="6">
        <v>2.1999999999999999E-2</v>
      </c>
      <c r="AK16" s="6">
        <v>0.22900000000000001</v>
      </c>
      <c r="AL16" s="6">
        <v>0.23400000000000001</v>
      </c>
      <c r="AM16" s="6">
        <v>0.13800000000000001</v>
      </c>
      <c r="AN16" s="6">
        <v>0.214</v>
      </c>
      <c r="AO16" s="6">
        <v>0.20599999999999999</v>
      </c>
    </row>
    <row r="17" spans="1:41">
      <c r="A17" s="5" t="s">
        <v>117</v>
      </c>
      <c r="B17" s="6">
        <v>1.732</v>
      </c>
      <c r="C17" s="6">
        <v>2.1000000000000001E-2</v>
      </c>
      <c r="D17" s="6">
        <v>0.13700000000000001</v>
      </c>
      <c r="E17" s="6">
        <v>2.306</v>
      </c>
      <c r="F17" s="8">
        <v>7.0000000000000001E-3</v>
      </c>
      <c r="G17" s="6">
        <v>7.0000000000000007E-2</v>
      </c>
      <c r="H17" s="6">
        <v>7.4999999999999997E-2</v>
      </c>
      <c r="I17" s="7">
        <v>2.8969999999999998</v>
      </c>
      <c r="J17" s="6">
        <v>1.161</v>
      </c>
      <c r="K17" s="6">
        <v>6.2E-2</v>
      </c>
      <c r="L17" s="6">
        <v>8.9999999999999993E-3</v>
      </c>
      <c r="M17" s="6">
        <v>0.216</v>
      </c>
      <c r="N17" s="6">
        <v>1.21</v>
      </c>
      <c r="O17" s="6">
        <v>0.05</v>
      </c>
      <c r="P17" s="8">
        <v>2E-3</v>
      </c>
      <c r="Q17" s="6">
        <v>1.103</v>
      </c>
      <c r="R17" s="7">
        <v>2.7229999999999999</v>
      </c>
      <c r="S17" s="6">
        <v>0.82899999999999996</v>
      </c>
      <c r="T17" s="6">
        <v>0.751</v>
      </c>
      <c r="U17" s="6">
        <v>6.2E-2</v>
      </c>
      <c r="V17" s="6">
        <v>0.36799999999999999</v>
      </c>
      <c r="W17" s="6">
        <v>4.1000000000000002E-2</v>
      </c>
      <c r="X17" s="6">
        <v>0.106</v>
      </c>
      <c r="Y17" s="6">
        <v>1.601</v>
      </c>
      <c r="Z17" s="8">
        <v>0.123</v>
      </c>
      <c r="AA17" s="8">
        <v>1.9E-2</v>
      </c>
      <c r="AB17" s="8">
        <v>0.112</v>
      </c>
      <c r="AC17" s="6">
        <v>1.7000000000000001E-2</v>
      </c>
      <c r="AD17" s="6">
        <v>2.9000000000000001E-2</v>
      </c>
      <c r="AE17" s="6">
        <v>5.7000000000000002E-2</v>
      </c>
      <c r="AF17" s="6">
        <v>1.7999999999999999E-2</v>
      </c>
      <c r="AG17" s="8">
        <v>1.0999999999999999E-2</v>
      </c>
      <c r="AH17" s="6">
        <v>1.0999999999999999E-2</v>
      </c>
      <c r="AI17" s="6">
        <v>6.8000000000000005E-2</v>
      </c>
      <c r="AJ17" s="6">
        <v>1.0999999999999999E-2</v>
      </c>
      <c r="AK17" s="6">
        <v>0.26800000000000002</v>
      </c>
      <c r="AL17" s="6">
        <v>0.28000000000000003</v>
      </c>
      <c r="AM17" s="6">
        <v>0.17599999999999999</v>
      </c>
      <c r="AN17" s="6">
        <v>0.26</v>
      </c>
      <c r="AO17" s="6">
        <v>0.27400000000000002</v>
      </c>
    </row>
    <row r="18" spans="1:41">
      <c r="A18" s="5" t="s">
        <v>118</v>
      </c>
      <c r="B18" s="7">
        <v>7.95</v>
      </c>
      <c r="C18" s="6">
        <v>2.5000000000000001E-2</v>
      </c>
      <c r="D18" s="6">
        <v>9.5000000000000001E-2</v>
      </c>
      <c r="E18" s="7">
        <v>8.1839999999999993</v>
      </c>
      <c r="F18" s="6">
        <v>2.1000000000000001E-2</v>
      </c>
      <c r="G18" s="8">
        <v>3.6999999999999998E-2</v>
      </c>
      <c r="H18" s="6">
        <v>0.10199999999999999</v>
      </c>
      <c r="I18" s="7">
        <v>37.784999999999997</v>
      </c>
      <c r="J18" s="6">
        <v>8.8999999999999996E-2</v>
      </c>
      <c r="K18" s="6">
        <v>9.1999999999999998E-2</v>
      </c>
      <c r="L18" s="6">
        <v>6.0000000000000001E-3</v>
      </c>
      <c r="M18" s="6">
        <v>7.1890000000000001</v>
      </c>
      <c r="N18" s="7">
        <v>2.9950000000000001</v>
      </c>
      <c r="O18" s="6">
        <v>5.0999999999999997E-2</v>
      </c>
      <c r="P18" s="8">
        <v>2E-3</v>
      </c>
      <c r="Q18" s="6">
        <v>0.23599999999999999</v>
      </c>
      <c r="R18" s="6">
        <v>1.141</v>
      </c>
      <c r="S18" s="6">
        <v>0.41899999999999998</v>
      </c>
      <c r="T18" s="6">
        <v>1.53</v>
      </c>
      <c r="U18" s="8">
        <v>1.2999999999999999E-2</v>
      </c>
      <c r="V18" s="6">
        <v>1.2969999999999999</v>
      </c>
      <c r="W18" s="6">
        <v>4.2000000000000003E-2</v>
      </c>
      <c r="X18" s="6">
        <v>0.17399999999999999</v>
      </c>
      <c r="Y18" s="6">
        <v>0.46300000000000002</v>
      </c>
      <c r="Z18" s="8">
        <v>6.7000000000000004E-2</v>
      </c>
      <c r="AA18" s="6">
        <v>7.0000000000000007E-2</v>
      </c>
      <c r="AB18" s="8">
        <v>9.0999999999999998E-2</v>
      </c>
      <c r="AC18" s="6">
        <v>2.3E-2</v>
      </c>
      <c r="AD18" s="8">
        <v>2E-3</v>
      </c>
      <c r="AE18" s="8">
        <v>2.1999999999999999E-2</v>
      </c>
      <c r="AF18" s="6">
        <v>2.4E-2</v>
      </c>
      <c r="AG18" s="6">
        <v>3.5999999999999997E-2</v>
      </c>
      <c r="AH18" s="6">
        <v>0.01</v>
      </c>
      <c r="AI18" s="6">
        <v>5.5E-2</v>
      </c>
      <c r="AJ18" s="6">
        <v>8.0000000000000002E-3</v>
      </c>
      <c r="AK18" s="6">
        <v>6.9000000000000006E-2</v>
      </c>
      <c r="AL18" s="6">
        <v>0.255</v>
      </c>
      <c r="AM18" s="6">
        <v>0.14399999999999999</v>
      </c>
      <c r="AN18" s="6">
        <v>0.214</v>
      </c>
      <c r="AO18" s="8">
        <v>8.4000000000000005E-2</v>
      </c>
    </row>
    <row r="19" spans="1:41">
      <c r="A19" s="5" t="s">
        <v>119</v>
      </c>
      <c r="B19" s="6">
        <v>2.544</v>
      </c>
      <c r="C19" s="6">
        <v>0.01</v>
      </c>
      <c r="D19" s="8">
        <v>1.7000000000000001E-2</v>
      </c>
      <c r="E19" s="7">
        <v>4.335</v>
      </c>
      <c r="F19" s="8">
        <v>8.0000000000000002E-3</v>
      </c>
      <c r="G19" s="6">
        <v>0.14899999999999999</v>
      </c>
      <c r="H19" s="6">
        <v>6.8000000000000005E-2</v>
      </c>
      <c r="I19" s="7">
        <v>4.88</v>
      </c>
      <c r="J19" s="6">
        <v>1.6279999999999999</v>
      </c>
      <c r="K19" s="6">
        <v>6.8000000000000005E-2</v>
      </c>
      <c r="L19" s="6">
        <v>6.0000000000000001E-3</v>
      </c>
      <c r="M19" s="6">
        <v>0.79800000000000004</v>
      </c>
      <c r="N19" s="7">
        <v>2.1179999999999999</v>
      </c>
      <c r="O19" s="6">
        <v>0.157</v>
      </c>
      <c r="P19" s="8">
        <v>3.0000000000000001E-3</v>
      </c>
      <c r="Q19" s="6">
        <v>2.3090000000000002</v>
      </c>
      <c r="R19" s="7">
        <v>4.6639999999999997</v>
      </c>
      <c r="S19" s="6">
        <v>1.081</v>
      </c>
      <c r="T19" s="6">
        <v>1.0469999999999999</v>
      </c>
      <c r="U19" s="6">
        <v>9.2999999999999999E-2</v>
      </c>
      <c r="V19" s="8">
        <v>0.14199999999999999</v>
      </c>
      <c r="W19" s="6">
        <v>0.02</v>
      </c>
      <c r="X19" s="6">
        <v>9.5000000000000001E-2</v>
      </c>
      <c r="Y19" s="6">
        <v>2.09</v>
      </c>
      <c r="Z19" s="8">
        <v>0.1</v>
      </c>
      <c r="AA19" s="8">
        <v>1.9E-2</v>
      </c>
      <c r="AB19" s="8">
        <v>0.13100000000000001</v>
      </c>
      <c r="AC19" s="8">
        <v>0.01</v>
      </c>
      <c r="AD19" s="6">
        <v>1.4999999999999999E-2</v>
      </c>
      <c r="AE19" s="6">
        <v>9.5000000000000001E-2</v>
      </c>
      <c r="AF19" s="6">
        <v>0.01</v>
      </c>
      <c r="AG19" s="6">
        <v>4.4999999999999998E-2</v>
      </c>
      <c r="AH19" s="6">
        <v>1.2999999999999999E-2</v>
      </c>
      <c r="AI19" s="6">
        <v>3.5999999999999997E-2</v>
      </c>
      <c r="AJ19" s="8">
        <v>2E-3</v>
      </c>
      <c r="AK19" s="6">
        <v>0.32100000000000001</v>
      </c>
      <c r="AL19" s="6">
        <v>0.193</v>
      </c>
      <c r="AM19" s="6">
        <v>0.16400000000000001</v>
      </c>
      <c r="AN19" s="6">
        <v>0.20599999999999999</v>
      </c>
      <c r="AO19" s="6">
        <v>0.17199999999999999</v>
      </c>
    </row>
    <row r="20" spans="1:41">
      <c r="A20" s="5" t="s">
        <v>120</v>
      </c>
      <c r="B20" s="8">
        <v>6.8000000000000005E-2</v>
      </c>
      <c r="C20" s="6">
        <v>1.0999999999999999E-2</v>
      </c>
      <c r="D20" s="6">
        <v>0.115</v>
      </c>
      <c r="E20" s="6">
        <v>0.505</v>
      </c>
      <c r="F20" s="6">
        <v>0.03</v>
      </c>
      <c r="G20" s="8">
        <v>3.2000000000000001E-2</v>
      </c>
      <c r="H20" s="8">
        <v>4.2999999999999997E-2</v>
      </c>
      <c r="I20" s="6">
        <v>0.60399999999999998</v>
      </c>
      <c r="J20" s="6">
        <v>1.117</v>
      </c>
      <c r="K20" s="8">
        <v>2.4E-2</v>
      </c>
      <c r="L20" s="8">
        <v>1E-3</v>
      </c>
      <c r="M20" s="8">
        <v>0.17599999999999999</v>
      </c>
      <c r="N20" s="6">
        <v>0.47199999999999998</v>
      </c>
      <c r="O20" s="6">
        <v>5.2999999999999999E-2</v>
      </c>
      <c r="P20" s="8">
        <v>2E-3</v>
      </c>
      <c r="Q20" s="8">
        <v>0.03</v>
      </c>
      <c r="R20" s="6">
        <v>1.6519999999999999</v>
      </c>
      <c r="S20" s="6">
        <v>0.66100000000000003</v>
      </c>
      <c r="T20" s="6">
        <v>0.67200000000000004</v>
      </c>
      <c r="U20" s="6">
        <v>2.5999999999999999E-2</v>
      </c>
      <c r="V20" s="8">
        <v>0.214</v>
      </c>
      <c r="W20" s="8">
        <v>1.4999999999999999E-2</v>
      </c>
      <c r="X20" s="6">
        <v>4.2000000000000003E-2</v>
      </c>
      <c r="Y20" s="6">
        <v>1.286</v>
      </c>
      <c r="Z20" s="8">
        <v>0.09</v>
      </c>
      <c r="AA20" s="8">
        <v>1.7999999999999999E-2</v>
      </c>
      <c r="AB20" s="8">
        <v>0.15</v>
      </c>
      <c r="AC20" s="6">
        <v>1.2999999999999999E-2</v>
      </c>
      <c r="AD20" s="6">
        <v>2.1000000000000001E-2</v>
      </c>
      <c r="AE20" s="6">
        <v>8.6999999999999994E-2</v>
      </c>
      <c r="AF20" s="6">
        <v>8.0000000000000002E-3</v>
      </c>
      <c r="AG20" s="8">
        <v>1.6E-2</v>
      </c>
      <c r="AH20" s="8">
        <v>4.0000000000000001E-3</v>
      </c>
      <c r="AI20" s="6">
        <v>3.1E-2</v>
      </c>
      <c r="AJ20" s="6">
        <v>4.9000000000000002E-2</v>
      </c>
      <c r="AK20" s="6">
        <v>0.33300000000000002</v>
      </c>
      <c r="AL20" s="6">
        <v>0.20799999999999999</v>
      </c>
      <c r="AM20" s="6">
        <v>0.161</v>
      </c>
      <c r="AN20" s="6">
        <v>0.20300000000000001</v>
      </c>
      <c r="AO20" s="6">
        <v>0.188</v>
      </c>
    </row>
    <row r="21" spans="1:41">
      <c r="A21" s="5" t="s">
        <v>121</v>
      </c>
      <c r="B21" s="8">
        <v>9.7000000000000003E-2</v>
      </c>
      <c r="C21" s="6">
        <v>7.0000000000000001E-3</v>
      </c>
      <c r="D21" s="6">
        <v>7.0999999999999994E-2</v>
      </c>
      <c r="E21" s="6">
        <v>0.48699999999999999</v>
      </c>
      <c r="F21" s="8">
        <v>8.9999999999999993E-3</v>
      </c>
      <c r="G21" s="8">
        <v>3.3000000000000002E-2</v>
      </c>
      <c r="H21" s="6">
        <v>6.0999999999999999E-2</v>
      </c>
      <c r="I21" s="6">
        <v>0.58399999999999996</v>
      </c>
      <c r="J21" s="6">
        <v>0.57599999999999996</v>
      </c>
      <c r="K21" s="6">
        <v>0.1</v>
      </c>
      <c r="L21" s="6">
        <v>2.1999999999999999E-2</v>
      </c>
      <c r="M21" s="8">
        <v>0</v>
      </c>
      <c r="N21" s="6">
        <v>0.56999999999999995</v>
      </c>
      <c r="O21" s="6">
        <v>6.5000000000000002E-2</v>
      </c>
      <c r="P21" s="8">
        <v>4.0000000000000001E-3</v>
      </c>
      <c r="Q21" s="8">
        <v>1.4999999999999999E-2</v>
      </c>
      <c r="R21" s="6">
        <v>1.4430000000000001</v>
      </c>
      <c r="S21" s="6">
        <v>0.49199999999999999</v>
      </c>
      <c r="T21" s="6">
        <v>0.71099999999999997</v>
      </c>
      <c r="U21" s="6">
        <v>4.5999999999999999E-2</v>
      </c>
      <c r="V21" s="8">
        <v>0.111</v>
      </c>
      <c r="W21" s="6">
        <v>2.1000000000000001E-2</v>
      </c>
      <c r="X21" s="8">
        <v>1.0999999999999999E-2</v>
      </c>
      <c r="Y21" s="6">
        <v>1.079</v>
      </c>
      <c r="Z21" s="8">
        <v>0.13500000000000001</v>
      </c>
      <c r="AA21" s="6">
        <v>5.2999999999999999E-2</v>
      </c>
      <c r="AB21" s="8">
        <v>0.122</v>
      </c>
      <c r="AC21" s="8">
        <v>7.0000000000000001E-3</v>
      </c>
      <c r="AD21" s="6">
        <v>8.9999999999999993E-3</v>
      </c>
      <c r="AE21" s="6">
        <v>4.4999999999999998E-2</v>
      </c>
      <c r="AF21" s="6">
        <v>1.6E-2</v>
      </c>
      <c r="AG21" s="8">
        <v>2.7E-2</v>
      </c>
      <c r="AH21" s="6">
        <v>8.0000000000000002E-3</v>
      </c>
      <c r="AI21" s="8">
        <v>2.1000000000000001E-2</v>
      </c>
      <c r="AJ21" s="6">
        <v>8.0000000000000002E-3</v>
      </c>
      <c r="AK21" s="6">
        <v>0.54100000000000004</v>
      </c>
      <c r="AL21" s="6">
        <v>0.218</v>
      </c>
      <c r="AM21" s="6">
        <v>0.192</v>
      </c>
      <c r="AN21" s="8">
        <v>0.19500000000000001</v>
      </c>
      <c r="AO21" s="6">
        <v>0.24099999999999999</v>
      </c>
    </row>
    <row r="22" spans="1:41">
      <c r="A22" s="5" t="s">
        <v>122</v>
      </c>
      <c r="B22" s="6">
        <v>0.61</v>
      </c>
      <c r="C22" s="6">
        <v>1.4999999999999999E-2</v>
      </c>
      <c r="D22" s="6">
        <v>7.3999999999999996E-2</v>
      </c>
      <c r="E22" s="6">
        <v>0.27600000000000002</v>
      </c>
      <c r="F22" s="8">
        <v>1E-3</v>
      </c>
      <c r="G22" s="6">
        <v>7.5999999999999998E-2</v>
      </c>
      <c r="H22" s="6">
        <v>0.08</v>
      </c>
      <c r="I22" s="6">
        <v>0.435</v>
      </c>
      <c r="J22" s="6">
        <v>0.55900000000000005</v>
      </c>
      <c r="K22" s="6">
        <v>0.04</v>
      </c>
      <c r="L22" s="6">
        <v>8.0000000000000002E-3</v>
      </c>
      <c r="M22" s="6">
        <v>0.313</v>
      </c>
      <c r="N22" s="6">
        <v>0.34200000000000003</v>
      </c>
      <c r="O22" s="6">
        <v>3.1E-2</v>
      </c>
      <c r="P22" s="8">
        <v>2E-3</v>
      </c>
      <c r="Q22" s="8">
        <v>1.2E-2</v>
      </c>
      <c r="R22" s="6">
        <v>1.327</v>
      </c>
      <c r="S22" s="6">
        <v>0.432</v>
      </c>
      <c r="T22" s="6">
        <v>0.69599999999999995</v>
      </c>
      <c r="U22" s="6">
        <v>5.7000000000000002E-2</v>
      </c>
      <c r="V22" s="8">
        <v>0.21099999999999999</v>
      </c>
      <c r="W22" s="8">
        <v>0</v>
      </c>
      <c r="X22" s="6">
        <v>6.4000000000000001E-2</v>
      </c>
      <c r="Y22" s="6">
        <v>0.77600000000000002</v>
      </c>
      <c r="Z22" s="8">
        <v>0.10100000000000001</v>
      </c>
      <c r="AA22" s="8">
        <v>0.01</v>
      </c>
      <c r="AB22" s="8">
        <v>0.13600000000000001</v>
      </c>
      <c r="AC22" s="6">
        <v>2.1000000000000001E-2</v>
      </c>
      <c r="AD22" s="6">
        <v>2.8000000000000001E-2</v>
      </c>
      <c r="AE22" s="6">
        <v>5.3999999999999999E-2</v>
      </c>
      <c r="AF22" s="8">
        <v>0</v>
      </c>
      <c r="AG22" s="8">
        <v>3.5000000000000003E-2</v>
      </c>
      <c r="AH22" s="6">
        <v>8.9999999999999993E-3</v>
      </c>
      <c r="AI22" s="6">
        <v>0.06</v>
      </c>
      <c r="AJ22" s="8">
        <v>0</v>
      </c>
      <c r="AK22" s="6">
        <v>0.25900000000000001</v>
      </c>
      <c r="AL22" s="6">
        <v>0.22600000000000001</v>
      </c>
      <c r="AM22" s="6">
        <v>0.20499999999999999</v>
      </c>
      <c r="AN22" s="6">
        <v>0.25700000000000001</v>
      </c>
      <c r="AO22" s="6">
        <v>0.22900000000000001</v>
      </c>
    </row>
    <row r="23" spans="1:41">
      <c r="A23" s="5" t="s">
        <v>123</v>
      </c>
      <c r="B23" s="6">
        <v>0.124</v>
      </c>
      <c r="C23" s="8">
        <v>0</v>
      </c>
      <c r="D23" s="6">
        <v>0.09</v>
      </c>
      <c r="E23" s="6">
        <v>0.317</v>
      </c>
      <c r="F23" s="8">
        <v>4.0000000000000001E-3</v>
      </c>
      <c r="G23" s="6">
        <v>6.0999999999999999E-2</v>
      </c>
      <c r="H23" s="8">
        <v>5.8000000000000003E-2</v>
      </c>
      <c r="I23" s="6">
        <v>0.33700000000000002</v>
      </c>
      <c r="J23" s="6">
        <v>0.34799999999999998</v>
      </c>
      <c r="K23" s="8">
        <v>3.5000000000000003E-2</v>
      </c>
      <c r="L23" s="6">
        <v>8.9999999999999993E-3</v>
      </c>
      <c r="M23" s="6">
        <v>0.42499999999999999</v>
      </c>
      <c r="N23" s="6">
        <v>0.23300000000000001</v>
      </c>
      <c r="O23" s="6">
        <v>3.6999999999999998E-2</v>
      </c>
      <c r="P23" s="8">
        <v>3.0000000000000001E-3</v>
      </c>
      <c r="Q23" s="8">
        <v>1.9E-2</v>
      </c>
      <c r="R23" s="6">
        <v>1.591</v>
      </c>
      <c r="S23" s="6">
        <v>0.442</v>
      </c>
      <c r="T23" s="6">
        <v>0.79100000000000004</v>
      </c>
      <c r="U23" s="6">
        <v>2.1999999999999999E-2</v>
      </c>
      <c r="V23" s="6">
        <v>0.375</v>
      </c>
      <c r="W23" s="6">
        <v>6.9000000000000006E-2</v>
      </c>
      <c r="X23" s="8">
        <v>2.9000000000000001E-2</v>
      </c>
      <c r="Y23" s="6">
        <v>0.92600000000000005</v>
      </c>
      <c r="Z23" s="8">
        <v>0.106</v>
      </c>
      <c r="AA23" s="8">
        <v>8.9999999999999993E-3</v>
      </c>
      <c r="AB23" s="8">
        <v>0.13300000000000001</v>
      </c>
      <c r="AC23" s="8">
        <v>6.0000000000000001E-3</v>
      </c>
      <c r="AD23" s="6">
        <v>1.6E-2</v>
      </c>
      <c r="AE23" s="6">
        <v>0.106</v>
      </c>
      <c r="AF23" s="8">
        <v>0</v>
      </c>
      <c r="AG23" s="6">
        <v>7.6999999999999999E-2</v>
      </c>
      <c r="AH23" s="6">
        <v>8.9999999999999993E-3</v>
      </c>
      <c r="AI23" s="6">
        <v>5.2999999999999999E-2</v>
      </c>
      <c r="AJ23" s="8">
        <v>0</v>
      </c>
      <c r="AK23" s="6">
        <v>0.30299999999999999</v>
      </c>
      <c r="AL23" s="6">
        <v>0.26100000000000001</v>
      </c>
      <c r="AM23" s="6">
        <v>0.23300000000000001</v>
      </c>
      <c r="AN23" s="6">
        <v>0.3</v>
      </c>
      <c r="AO23" s="6">
        <v>0.35599999999999998</v>
      </c>
    </row>
    <row r="24" spans="1:41">
      <c r="A24" s="5" t="s">
        <v>124</v>
      </c>
      <c r="B24" s="6">
        <v>0.57399999999999995</v>
      </c>
      <c r="C24" s="6">
        <v>1.6E-2</v>
      </c>
      <c r="D24" s="8">
        <v>4.1000000000000002E-2</v>
      </c>
      <c r="E24" s="6">
        <v>0.311</v>
      </c>
      <c r="F24" s="8">
        <v>3.0000000000000001E-3</v>
      </c>
      <c r="G24" s="8">
        <v>3.4000000000000002E-2</v>
      </c>
      <c r="H24" s="8">
        <v>4.5999999999999999E-2</v>
      </c>
      <c r="I24" s="6">
        <v>0.34499999999999997</v>
      </c>
      <c r="J24" s="6">
        <v>0.36399999999999999</v>
      </c>
      <c r="K24" s="6">
        <v>4.8000000000000001E-2</v>
      </c>
      <c r="L24" s="6">
        <v>2E-3</v>
      </c>
      <c r="M24" s="8">
        <v>0.14099999999999999</v>
      </c>
      <c r="N24" s="6">
        <v>0.33800000000000002</v>
      </c>
      <c r="O24" s="6">
        <v>6.6000000000000003E-2</v>
      </c>
      <c r="P24" s="8">
        <v>3.0000000000000001E-3</v>
      </c>
      <c r="Q24" s="6">
        <v>3.7999999999999999E-2</v>
      </c>
      <c r="R24" s="6">
        <v>1.5029999999999999</v>
      </c>
      <c r="S24" s="6">
        <v>0.55400000000000005</v>
      </c>
      <c r="T24" s="6">
        <v>0.55600000000000005</v>
      </c>
      <c r="U24" s="6">
        <v>1.9E-2</v>
      </c>
      <c r="V24" s="6">
        <v>0.26400000000000001</v>
      </c>
      <c r="W24" s="6">
        <v>4.8000000000000001E-2</v>
      </c>
      <c r="X24" s="6">
        <v>4.3999999999999997E-2</v>
      </c>
      <c r="Y24" s="6">
        <v>0.80300000000000005</v>
      </c>
      <c r="Z24" s="8">
        <v>0.124</v>
      </c>
      <c r="AA24" s="8">
        <v>1.6E-2</v>
      </c>
      <c r="AB24" s="8">
        <v>0.15</v>
      </c>
      <c r="AC24" s="6">
        <v>1.7999999999999999E-2</v>
      </c>
      <c r="AD24" s="8">
        <v>0</v>
      </c>
      <c r="AE24" s="6">
        <v>7.5999999999999998E-2</v>
      </c>
      <c r="AF24" s="8">
        <v>3.0000000000000001E-3</v>
      </c>
      <c r="AG24" s="8">
        <v>4.0000000000000001E-3</v>
      </c>
      <c r="AH24" s="8">
        <v>2E-3</v>
      </c>
      <c r="AI24" s="6">
        <v>2.4E-2</v>
      </c>
      <c r="AJ24" s="8">
        <v>0</v>
      </c>
      <c r="AK24" s="6">
        <v>0.371</v>
      </c>
      <c r="AL24" s="6">
        <v>0.23400000000000001</v>
      </c>
      <c r="AM24" s="6">
        <v>0.182</v>
      </c>
      <c r="AN24" s="6">
        <v>0.216</v>
      </c>
      <c r="AO24" s="6">
        <v>0.20899999999999999</v>
      </c>
    </row>
    <row r="25" spans="1:41">
      <c r="A25" s="5" t="s">
        <v>125</v>
      </c>
      <c r="B25" s="6">
        <v>0.124</v>
      </c>
      <c r="C25" s="6">
        <v>7.0000000000000001E-3</v>
      </c>
      <c r="D25" s="6">
        <v>0.18099999999999999</v>
      </c>
      <c r="E25" s="8">
        <v>8.4000000000000005E-2</v>
      </c>
      <c r="F25" s="8">
        <v>0</v>
      </c>
      <c r="G25" s="6">
        <v>4.5999999999999999E-2</v>
      </c>
      <c r="H25" s="8">
        <v>5.3999999999999999E-2</v>
      </c>
      <c r="I25" s="6">
        <v>6.6000000000000003E-2</v>
      </c>
      <c r="J25" s="6">
        <v>2.1999999999999999E-2</v>
      </c>
      <c r="K25" s="6">
        <v>3.7999999999999999E-2</v>
      </c>
      <c r="L25" s="8">
        <v>1E-3</v>
      </c>
      <c r="M25" s="8">
        <v>7.2999999999999995E-2</v>
      </c>
      <c r="N25" s="6">
        <v>0.106</v>
      </c>
      <c r="O25" s="6">
        <v>1.4E-2</v>
      </c>
      <c r="P25" s="6">
        <v>1.4E-2</v>
      </c>
      <c r="Q25" s="8">
        <v>2.5000000000000001E-2</v>
      </c>
      <c r="R25" s="6">
        <v>0.50700000000000001</v>
      </c>
      <c r="S25" s="6">
        <v>0.373</v>
      </c>
      <c r="T25" s="6">
        <v>0.58799999999999997</v>
      </c>
      <c r="U25" s="8">
        <v>0</v>
      </c>
      <c r="V25" s="6">
        <v>0.26900000000000002</v>
      </c>
      <c r="W25" s="6">
        <v>4.9000000000000002E-2</v>
      </c>
      <c r="X25" s="6">
        <v>4.2999999999999997E-2</v>
      </c>
      <c r="Y25" s="6">
        <v>0.38800000000000001</v>
      </c>
      <c r="Z25" s="8">
        <v>0.115</v>
      </c>
      <c r="AA25" s="8">
        <v>2.1999999999999999E-2</v>
      </c>
      <c r="AB25" s="6">
        <v>0.19600000000000001</v>
      </c>
      <c r="AC25" s="6">
        <v>1.7999999999999999E-2</v>
      </c>
      <c r="AD25" s="8">
        <v>6.0000000000000001E-3</v>
      </c>
      <c r="AE25" s="8">
        <v>1.4E-2</v>
      </c>
      <c r="AF25" s="6">
        <v>0.02</v>
      </c>
      <c r="AG25" s="6">
        <v>7.6999999999999999E-2</v>
      </c>
      <c r="AH25" s="8">
        <v>5.0000000000000001E-3</v>
      </c>
      <c r="AI25" s="6">
        <v>3.3000000000000002E-2</v>
      </c>
      <c r="AJ25" s="8">
        <v>0</v>
      </c>
      <c r="AK25" s="6">
        <v>5.7000000000000002E-2</v>
      </c>
      <c r="AL25" s="8">
        <v>0.14599999999999999</v>
      </c>
      <c r="AM25" s="8">
        <v>0.114</v>
      </c>
      <c r="AN25" s="8">
        <v>9.8000000000000004E-2</v>
      </c>
      <c r="AO25" s="8">
        <v>0.1</v>
      </c>
    </row>
    <row r="26" spans="1:41">
      <c r="A26" s="5" t="s">
        <v>126</v>
      </c>
      <c r="B26" s="6">
        <v>6.6029999999999998</v>
      </c>
      <c r="C26" s="6">
        <v>3.9E-2</v>
      </c>
      <c r="D26" s="6">
        <v>2.8519999999999999</v>
      </c>
      <c r="E26" s="7">
        <v>4.3739999999999997</v>
      </c>
      <c r="F26" s="6">
        <v>0.13</v>
      </c>
      <c r="G26" s="6">
        <v>0.06</v>
      </c>
      <c r="H26" s="8">
        <v>5.1999999999999998E-2</v>
      </c>
      <c r="I26" s="7">
        <v>3.282</v>
      </c>
      <c r="J26" s="7">
        <v>13.566000000000001</v>
      </c>
      <c r="K26" s="6">
        <v>0.13200000000000001</v>
      </c>
      <c r="L26" s="6">
        <v>1.0999999999999999E-2</v>
      </c>
      <c r="M26" s="6">
        <v>0.26800000000000002</v>
      </c>
      <c r="N26" s="6">
        <v>1.524</v>
      </c>
      <c r="O26" s="6">
        <v>0.39100000000000001</v>
      </c>
      <c r="P26" s="6">
        <v>6.0000000000000001E-3</v>
      </c>
      <c r="Q26" s="6">
        <v>6.7000000000000004E-2</v>
      </c>
      <c r="R26" s="7">
        <v>5.0679999999999996</v>
      </c>
      <c r="S26" s="7">
        <v>2.9140000000000001</v>
      </c>
      <c r="T26" s="6">
        <v>1.8460000000000001</v>
      </c>
      <c r="U26" s="6">
        <v>0.435</v>
      </c>
      <c r="V26" s="6">
        <v>0.36499999999999999</v>
      </c>
      <c r="W26" s="6">
        <v>3.2000000000000001E-2</v>
      </c>
      <c r="X26" s="6">
        <v>0.47899999999999998</v>
      </c>
      <c r="Y26" s="7">
        <v>5.1550000000000002</v>
      </c>
      <c r="Z26" s="6">
        <v>0.23499999999999999</v>
      </c>
      <c r="AA26" s="6">
        <v>8.8999999999999996E-2</v>
      </c>
      <c r="AB26" s="6">
        <v>0.32300000000000001</v>
      </c>
      <c r="AC26" s="8">
        <v>6.0000000000000001E-3</v>
      </c>
      <c r="AD26" s="6">
        <v>0.112</v>
      </c>
      <c r="AE26" s="6">
        <v>4.5999999999999999E-2</v>
      </c>
      <c r="AF26" s="6">
        <v>6.2E-2</v>
      </c>
      <c r="AG26" s="8">
        <v>3.1E-2</v>
      </c>
      <c r="AH26" s="8">
        <v>5.0000000000000001E-3</v>
      </c>
      <c r="AI26" s="6">
        <v>2.7E-2</v>
      </c>
      <c r="AJ26" s="6">
        <v>7.0000000000000001E-3</v>
      </c>
      <c r="AK26" s="6">
        <v>1.5129999999999999</v>
      </c>
      <c r="AL26" s="6">
        <v>0.315</v>
      </c>
      <c r="AM26" s="6">
        <v>0.223</v>
      </c>
      <c r="AN26" s="6">
        <v>0.376</v>
      </c>
      <c r="AO26" s="6">
        <v>0.248</v>
      </c>
    </row>
    <row r="27" spans="1:41">
      <c r="A27" s="5" t="s">
        <v>127</v>
      </c>
      <c r="B27" s="6">
        <v>1.851</v>
      </c>
      <c r="C27" s="6">
        <v>7.0000000000000001E-3</v>
      </c>
      <c r="D27" s="8">
        <v>2.7E-2</v>
      </c>
      <c r="E27" s="6">
        <v>2.44</v>
      </c>
      <c r="F27" s="6">
        <v>1.0999999999999999E-2</v>
      </c>
      <c r="G27" s="6">
        <v>6.2E-2</v>
      </c>
      <c r="H27" s="6">
        <v>7.4999999999999997E-2</v>
      </c>
      <c r="I27" s="7">
        <v>3.0070000000000001</v>
      </c>
      <c r="J27" s="6">
        <v>1.4430000000000001</v>
      </c>
      <c r="K27" s="6">
        <v>6.0999999999999999E-2</v>
      </c>
      <c r="L27" s="8">
        <v>1E-3</v>
      </c>
      <c r="M27" s="8">
        <v>0.17499999999999999</v>
      </c>
      <c r="N27" s="6">
        <v>1.274</v>
      </c>
      <c r="O27" s="6">
        <v>0.115</v>
      </c>
      <c r="P27" s="6">
        <v>8.9999999999999993E-3</v>
      </c>
      <c r="Q27" s="6">
        <v>1.0489999999999999</v>
      </c>
      <c r="R27" s="7">
        <v>3.0270000000000001</v>
      </c>
      <c r="S27" s="6">
        <v>0.75</v>
      </c>
      <c r="T27" s="6">
        <v>1.097</v>
      </c>
      <c r="U27" s="8">
        <v>0</v>
      </c>
      <c r="V27" s="6">
        <v>0.36599999999999999</v>
      </c>
      <c r="W27" s="8">
        <v>1.4999999999999999E-2</v>
      </c>
      <c r="X27" s="6">
        <v>8.6999999999999994E-2</v>
      </c>
      <c r="Y27" s="6">
        <v>1.889</v>
      </c>
      <c r="Z27" s="8">
        <v>7.9000000000000001E-2</v>
      </c>
      <c r="AA27" s="8">
        <v>1.2999999999999999E-2</v>
      </c>
      <c r="AB27" s="8">
        <v>0.114</v>
      </c>
      <c r="AC27" s="8">
        <v>8.0000000000000002E-3</v>
      </c>
      <c r="AD27" s="6">
        <v>2.9000000000000001E-2</v>
      </c>
      <c r="AE27" s="6">
        <v>8.2000000000000003E-2</v>
      </c>
      <c r="AF27" s="6">
        <v>4.3999999999999997E-2</v>
      </c>
      <c r="AG27" s="6">
        <v>0.14199999999999999</v>
      </c>
      <c r="AH27" s="8">
        <v>5.0000000000000001E-3</v>
      </c>
      <c r="AI27" s="6">
        <v>0.03</v>
      </c>
      <c r="AJ27" s="8">
        <v>0</v>
      </c>
      <c r="AK27" s="6">
        <v>0.317</v>
      </c>
      <c r="AL27" s="6">
        <v>0.19600000000000001</v>
      </c>
      <c r="AM27" s="8">
        <v>0.121</v>
      </c>
      <c r="AN27" s="6">
        <v>0.32400000000000001</v>
      </c>
      <c r="AO27" s="8">
        <v>0.13400000000000001</v>
      </c>
    </row>
    <row r="28" spans="1:41">
      <c r="A28" s="5" t="s">
        <v>128</v>
      </c>
      <c r="B28" s="6">
        <v>2.9049999999999998</v>
      </c>
      <c r="C28" s="6">
        <v>3.6999999999999998E-2</v>
      </c>
      <c r="D28" s="8">
        <v>0</v>
      </c>
      <c r="E28" s="6">
        <v>3.4830000000000001</v>
      </c>
      <c r="F28" s="8">
        <v>8.9999999999999993E-3</v>
      </c>
      <c r="G28" s="6">
        <v>0.13500000000000001</v>
      </c>
      <c r="H28" s="8">
        <v>4.7E-2</v>
      </c>
      <c r="I28" s="7">
        <v>3.9820000000000002</v>
      </c>
      <c r="J28" s="7">
        <v>1.905</v>
      </c>
      <c r="K28" s="6">
        <v>5.3999999999999999E-2</v>
      </c>
      <c r="L28" s="6">
        <v>3.0000000000000001E-3</v>
      </c>
      <c r="M28" s="6">
        <v>0.50600000000000001</v>
      </c>
      <c r="N28" s="7">
        <v>1.8180000000000001</v>
      </c>
      <c r="O28" s="6">
        <v>0.113</v>
      </c>
      <c r="P28" s="6">
        <v>5.0000000000000001E-3</v>
      </c>
      <c r="Q28" s="6">
        <v>1.6539999999999999</v>
      </c>
      <c r="R28" s="7">
        <v>4.7</v>
      </c>
      <c r="S28" s="6">
        <v>1.135</v>
      </c>
      <c r="T28" s="6">
        <v>1.381</v>
      </c>
      <c r="U28" s="6">
        <v>6.5000000000000002E-2</v>
      </c>
      <c r="V28" s="8">
        <v>0.152</v>
      </c>
      <c r="W28" s="6">
        <v>0.05</v>
      </c>
      <c r="X28" s="6">
        <v>0.13</v>
      </c>
      <c r="Y28" s="6">
        <v>2.1829999999999998</v>
      </c>
      <c r="Z28" s="6">
        <v>0.19600000000000001</v>
      </c>
      <c r="AA28" s="6">
        <v>3.4000000000000002E-2</v>
      </c>
      <c r="AB28" s="6">
        <v>0.24099999999999999</v>
      </c>
      <c r="AC28" s="6">
        <v>1.7000000000000001E-2</v>
      </c>
      <c r="AD28" s="6">
        <v>2.7E-2</v>
      </c>
      <c r="AE28" s="6">
        <v>0.17899999999999999</v>
      </c>
      <c r="AF28" s="6">
        <v>0.01</v>
      </c>
      <c r="AG28" s="6">
        <v>7.8E-2</v>
      </c>
      <c r="AH28" s="6">
        <v>6.0000000000000001E-3</v>
      </c>
      <c r="AI28" s="6">
        <v>5.2999999999999999E-2</v>
      </c>
      <c r="AJ28" s="8">
        <v>4.0000000000000001E-3</v>
      </c>
      <c r="AK28" s="6">
        <v>0.65900000000000003</v>
      </c>
      <c r="AL28" s="6">
        <v>0.378</v>
      </c>
      <c r="AM28" s="6">
        <v>0.29499999999999998</v>
      </c>
      <c r="AN28" s="6">
        <v>0.40699999999999997</v>
      </c>
      <c r="AO28" s="6">
        <v>0.29599999999999999</v>
      </c>
    </row>
    <row r="29" spans="1:41">
      <c r="A29" s="5" t="s">
        <v>129</v>
      </c>
      <c r="B29" s="6">
        <v>4.2130000000000001</v>
      </c>
      <c r="C29" s="6">
        <v>0.36099999999999999</v>
      </c>
      <c r="D29" s="8">
        <v>4.2999999999999997E-2</v>
      </c>
      <c r="E29" s="6">
        <v>0.3</v>
      </c>
      <c r="F29" s="6">
        <v>1.2E-2</v>
      </c>
      <c r="G29" s="8">
        <v>3.1E-2</v>
      </c>
      <c r="H29" s="6">
        <v>6.3E-2</v>
      </c>
      <c r="I29" s="6">
        <v>0.32800000000000001</v>
      </c>
      <c r="J29" s="6">
        <v>9.6000000000000002E-2</v>
      </c>
      <c r="K29" s="6">
        <v>0.06</v>
      </c>
      <c r="L29" s="6">
        <v>2E-3</v>
      </c>
      <c r="M29" s="6">
        <v>0.33300000000000002</v>
      </c>
      <c r="N29" s="6">
        <v>0.313</v>
      </c>
      <c r="O29" s="6">
        <v>4.1000000000000002E-2</v>
      </c>
      <c r="P29" s="6">
        <v>0.01</v>
      </c>
      <c r="Q29" s="6">
        <v>5.2999999999999999E-2</v>
      </c>
      <c r="R29" s="6">
        <v>0.56599999999999995</v>
      </c>
      <c r="S29" s="8">
        <v>0.185</v>
      </c>
      <c r="T29" s="6">
        <v>0.84799999999999998</v>
      </c>
      <c r="U29" s="8">
        <v>0.01</v>
      </c>
      <c r="V29" s="8">
        <v>0.192</v>
      </c>
      <c r="W29" s="6">
        <v>2.4E-2</v>
      </c>
      <c r="X29" s="6">
        <v>8.5999999999999993E-2</v>
      </c>
      <c r="Y29" s="6">
        <v>0.36099999999999999</v>
      </c>
      <c r="Z29" s="8">
        <v>8.7999999999999995E-2</v>
      </c>
      <c r="AA29" s="6">
        <v>6.8000000000000005E-2</v>
      </c>
      <c r="AB29" s="8">
        <v>0.107</v>
      </c>
      <c r="AC29" s="6">
        <v>1.2999999999999999E-2</v>
      </c>
      <c r="AD29" s="8">
        <v>5.0000000000000001E-3</v>
      </c>
      <c r="AE29" s="6">
        <v>8.4000000000000005E-2</v>
      </c>
      <c r="AF29" s="6">
        <v>1.4E-2</v>
      </c>
      <c r="AG29" s="8">
        <v>2.8000000000000001E-2</v>
      </c>
      <c r="AH29" s="8">
        <v>2E-3</v>
      </c>
      <c r="AI29" s="6">
        <v>2.5000000000000001E-2</v>
      </c>
      <c r="AJ29" s="6">
        <v>7.0000000000000001E-3</v>
      </c>
      <c r="AK29" s="6">
        <v>0.111</v>
      </c>
      <c r="AL29" s="6">
        <v>0.184</v>
      </c>
      <c r="AM29" s="6">
        <v>0.156</v>
      </c>
      <c r="AN29" s="6">
        <v>0.24199999999999999</v>
      </c>
      <c r="AO29" s="6">
        <v>0.16400000000000001</v>
      </c>
    </row>
    <row r="30" spans="1:41">
      <c r="A30" s="5" t="s">
        <v>130</v>
      </c>
      <c r="B30" s="6">
        <v>0.88700000000000001</v>
      </c>
      <c r="C30" s="6">
        <v>0.29699999999999999</v>
      </c>
      <c r="D30" s="8">
        <v>4.7E-2</v>
      </c>
      <c r="E30" s="6">
        <v>1.171</v>
      </c>
      <c r="F30" s="8">
        <v>7.0000000000000001E-3</v>
      </c>
      <c r="G30" s="6">
        <v>5.0999999999999997E-2</v>
      </c>
      <c r="H30" s="8">
        <v>3.5999999999999997E-2</v>
      </c>
      <c r="I30" s="7">
        <v>13.335000000000001</v>
      </c>
      <c r="J30" s="6">
        <v>2.3E-2</v>
      </c>
      <c r="K30" s="6">
        <v>0.52100000000000002</v>
      </c>
      <c r="L30" s="6">
        <v>8.0000000000000002E-3</v>
      </c>
      <c r="M30" s="6">
        <v>0.28599999999999998</v>
      </c>
      <c r="N30" s="6">
        <v>0.63900000000000001</v>
      </c>
      <c r="O30" s="6">
        <v>0.01</v>
      </c>
      <c r="P30" s="8">
        <v>3.0000000000000001E-3</v>
      </c>
      <c r="Q30" s="6">
        <v>0.13900000000000001</v>
      </c>
      <c r="R30" s="6">
        <v>1.4430000000000001</v>
      </c>
      <c r="S30" s="6">
        <v>0.30099999999999999</v>
      </c>
      <c r="T30" s="6">
        <v>0.86599999999999999</v>
      </c>
      <c r="U30" s="6">
        <v>2.4E-2</v>
      </c>
      <c r="V30" s="6">
        <v>0.315</v>
      </c>
      <c r="W30" s="8">
        <v>4.0000000000000001E-3</v>
      </c>
      <c r="X30" s="6">
        <v>5.8999999999999997E-2</v>
      </c>
      <c r="Y30" s="6">
        <v>0.39500000000000002</v>
      </c>
      <c r="Z30" s="8">
        <v>4.4999999999999998E-2</v>
      </c>
      <c r="AA30" s="6">
        <v>5.7000000000000002E-2</v>
      </c>
      <c r="AB30" s="8">
        <v>6.9000000000000006E-2</v>
      </c>
      <c r="AC30" s="8">
        <v>8.9999999999999993E-3</v>
      </c>
      <c r="AD30" s="6">
        <v>2.8000000000000001E-2</v>
      </c>
      <c r="AE30" s="6">
        <v>6.8000000000000005E-2</v>
      </c>
      <c r="AF30" s="6">
        <v>3.2000000000000001E-2</v>
      </c>
      <c r="AG30" s="6">
        <v>8.4000000000000005E-2</v>
      </c>
      <c r="AH30" s="8">
        <v>4.0000000000000001E-3</v>
      </c>
      <c r="AI30" s="6">
        <v>4.2999999999999997E-2</v>
      </c>
      <c r="AJ30" s="8">
        <v>0</v>
      </c>
      <c r="AK30" s="8">
        <v>3.3000000000000002E-2</v>
      </c>
      <c r="AL30" s="8">
        <v>0.14099999999999999</v>
      </c>
      <c r="AM30" s="8">
        <v>0.106</v>
      </c>
      <c r="AN30" s="8">
        <v>0.13500000000000001</v>
      </c>
      <c r="AO30" s="6">
        <v>0.14599999999999999</v>
      </c>
    </row>
    <row r="31" spans="1:41">
      <c r="A31" s="5" t="s">
        <v>131</v>
      </c>
      <c r="B31" s="6">
        <v>2.3519999999999999</v>
      </c>
      <c r="C31" s="6">
        <v>8.0000000000000002E-3</v>
      </c>
      <c r="D31" s="6">
        <v>0.112</v>
      </c>
      <c r="E31" s="6">
        <v>3.7440000000000002</v>
      </c>
      <c r="F31" s="8">
        <v>7.0000000000000001E-3</v>
      </c>
      <c r="G31" s="6">
        <v>0.09</v>
      </c>
      <c r="H31" s="8">
        <v>4.8000000000000001E-2</v>
      </c>
      <c r="I31" s="7">
        <v>4.2699999999999996</v>
      </c>
      <c r="J31" s="6">
        <v>1.5649999999999999</v>
      </c>
      <c r="K31" s="8">
        <v>1.4999999999999999E-2</v>
      </c>
      <c r="L31" s="6">
        <v>8.0000000000000002E-3</v>
      </c>
      <c r="M31" s="6">
        <v>0.48199999999999998</v>
      </c>
      <c r="N31" s="6">
        <v>1.6639999999999999</v>
      </c>
      <c r="O31" s="6">
        <v>0.19600000000000001</v>
      </c>
      <c r="P31" s="8">
        <v>2E-3</v>
      </c>
      <c r="Q31" s="6">
        <v>2.57</v>
      </c>
      <c r="R31" s="7">
        <v>3.641</v>
      </c>
      <c r="S31" s="6">
        <v>1.0569999999999999</v>
      </c>
      <c r="T31" s="6">
        <v>0.73599999999999999</v>
      </c>
      <c r="U31" s="6">
        <v>6.9000000000000006E-2</v>
      </c>
      <c r="V31" s="8">
        <v>0.19900000000000001</v>
      </c>
      <c r="W31" s="6">
        <v>4.5999999999999999E-2</v>
      </c>
      <c r="X31" s="6">
        <v>6.7000000000000004E-2</v>
      </c>
      <c r="Y31" s="6">
        <v>1.841</v>
      </c>
      <c r="Z31" s="8">
        <v>0.113</v>
      </c>
      <c r="AA31" s="6">
        <v>6.3E-2</v>
      </c>
      <c r="AB31" s="8">
        <v>0.14099999999999999</v>
      </c>
      <c r="AC31" s="6">
        <v>1.4999999999999999E-2</v>
      </c>
      <c r="AD31" s="6">
        <v>2.7E-2</v>
      </c>
      <c r="AE31" s="6">
        <v>0.04</v>
      </c>
      <c r="AF31" s="6">
        <v>1.9E-2</v>
      </c>
      <c r="AG31" s="6">
        <v>4.3999999999999997E-2</v>
      </c>
      <c r="AH31" s="8">
        <v>1E-3</v>
      </c>
      <c r="AI31" s="6">
        <v>0.10100000000000001</v>
      </c>
      <c r="AJ31" s="8">
        <v>0</v>
      </c>
      <c r="AK31" s="6">
        <v>0.184</v>
      </c>
      <c r="AL31" s="6">
        <v>0.192</v>
      </c>
      <c r="AM31" s="6">
        <v>0.17499999999999999</v>
      </c>
      <c r="AN31" s="6">
        <v>0.29599999999999999</v>
      </c>
      <c r="AO31" s="6">
        <v>0.192</v>
      </c>
    </row>
    <row r="32" spans="1:41">
      <c r="A32" s="5" t="s">
        <v>132</v>
      </c>
      <c r="B32" s="8">
        <v>3.9E-2</v>
      </c>
      <c r="C32" s="8">
        <v>3.0000000000000001E-3</v>
      </c>
      <c r="D32" s="6">
        <v>7.8E-2</v>
      </c>
      <c r="E32" s="6">
        <v>0.123</v>
      </c>
      <c r="F32" s="8">
        <v>3.0000000000000001E-3</v>
      </c>
      <c r="G32" s="6">
        <v>7.3999999999999996E-2</v>
      </c>
      <c r="H32" s="8">
        <v>3.2000000000000001E-2</v>
      </c>
      <c r="I32" s="6">
        <v>5.0999999999999997E-2</v>
      </c>
      <c r="J32" s="8">
        <v>7.0000000000000001E-3</v>
      </c>
      <c r="K32" s="8">
        <v>2.5999999999999999E-2</v>
      </c>
      <c r="L32" s="6">
        <v>2E-3</v>
      </c>
      <c r="M32" s="6">
        <v>0.222</v>
      </c>
      <c r="N32" s="6">
        <v>7.0000000000000007E-2</v>
      </c>
      <c r="O32" s="8">
        <v>2E-3</v>
      </c>
      <c r="P32" s="8">
        <v>1E-3</v>
      </c>
      <c r="Q32" s="8">
        <v>1.7000000000000001E-2</v>
      </c>
      <c r="R32" s="6">
        <v>0.55500000000000005</v>
      </c>
      <c r="S32" s="8">
        <v>0.21</v>
      </c>
      <c r="T32" s="6">
        <v>0.50800000000000001</v>
      </c>
      <c r="U32" s="6">
        <v>1.7999999999999999E-2</v>
      </c>
      <c r="V32" s="6">
        <v>0.27200000000000002</v>
      </c>
      <c r="W32" s="8">
        <v>2E-3</v>
      </c>
      <c r="X32" s="6">
        <v>4.9000000000000002E-2</v>
      </c>
      <c r="Y32" s="6">
        <v>0.38400000000000001</v>
      </c>
      <c r="Z32" s="8">
        <v>0.122</v>
      </c>
      <c r="AA32" s="6">
        <v>2.8000000000000001E-2</v>
      </c>
      <c r="AB32" s="8">
        <v>0.155</v>
      </c>
      <c r="AC32" s="6">
        <v>2.1999999999999999E-2</v>
      </c>
      <c r="AD32" s="6">
        <v>0.01</v>
      </c>
      <c r="AE32" s="8">
        <v>1.4999999999999999E-2</v>
      </c>
      <c r="AF32" s="8">
        <v>0</v>
      </c>
      <c r="AG32" s="8">
        <v>2.3E-2</v>
      </c>
      <c r="AH32" s="6">
        <v>6.0000000000000001E-3</v>
      </c>
      <c r="AI32" s="6">
        <v>3.6999999999999998E-2</v>
      </c>
      <c r="AJ32" s="8">
        <v>0</v>
      </c>
      <c r="AK32" s="8">
        <v>2.5999999999999999E-2</v>
      </c>
      <c r="AL32" s="8">
        <v>0.113</v>
      </c>
      <c r="AM32" s="8">
        <v>0.114</v>
      </c>
      <c r="AN32" s="8">
        <v>0.17299999999999999</v>
      </c>
      <c r="AO32" s="8">
        <v>0.13100000000000001</v>
      </c>
    </row>
    <row r="33" spans="1:41">
      <c r="A33" s="5" t="s">
        <v>133</v>
      </c>
      <c r="B33" s="6">
        <v>2.8079999999999998</v>
      </c>
      <c r="C33" s="6">
        <v>2.5999999999999999E-2</v>
      </c>
      <c r="D33" s="6">
        <v>0.50800000000000001</v>
      </c>
      <c r="E33" s="6">
        <v>3.44</v>
      </c>
      <c r="F33" s="6">
        <v>2.1999999999999999E-2</v>
      </c>
      <c r="G33" s="8">
        <v>2.7E-2</v>
      </c>
      <c r="H33" s="8">
        <v>0.05</v>
      </c>
      <c r="I33" s="7">
        <v>2.27</v>
      </c>
      <c r="J33" s="6">
        <v>0.78600000000000003</v>
      </c>
      <c r="K33" s="6">
        <v>6.4000000000000001E-2</v>
      </c>
      <c r="L33" s="6">
        <v>4.0000000000000001E-3</v>
      </c>
      <c r="M33" s="6">
        <v>0.78300000000000003</v>
      </c>
      <c r="N33" s="6">
        <v>1.419</v>
      </c>
      <c r="O33" s="6">
        <v>0.221</v>
      </c>
      <c r="P33" s="6">
        <v>7.0000000000000001E-3</v>
      </c>
      <c r="Q33" s="6">
        <v>0.89800000000000002</v>
      </c>
      <c r="R33" s="7">
        <v>3.0830000000000002</v>
      </c>
      <c r="S33" s="6">
        <v>0.67800000000000005</v>
      </c>
      <c r="T33" s="6">
        <v>1.387</v>
      </c>
      <c r="U33" s="6">
        <v>7.3999999999999996E-2</v>
      </c>
      <c r="V33" s="6">
        <v>0.29899999999999999</v>
      </c>
      <c r="W33" s="6">
        <v>0.27500000000000002</v>
      </c>
      <c r="X33" s="6">
        <v>0.29399999999999998</v>
      </c>
      <c r="Y33" s="6">
        <v>2.0289999999999999</v>
      </c>
      <c r="Z33" s="8">
        <v>0.114</v>
      </c>
      <c r="AA33" s="6">
        <v>0.127</v>
      </c>
      <c r="AB33" s="8">
        <v>0.112</v>
      </c>
      <c r="AC33" s="6">
        <v>2.3E-2</v>
      </c>
      <c r="AD33" s="6">
        <v>8.0000000000000002E-3</v>
      </c>
      <c r="AE33" s="6">
        <v>7.3999999999999996E-2</v>
      </c>
      <c r="AF33" s="6">
        <v>1.2E-2</v>
      </c>
      <c r="AG33" s="6">
        <v>8.2000000000000003E-2</v>
      </c>
      <c r="AH33" s="6">
        <v>1.2999999999999999E-2</v>
      </c>
      <c r="AI33" s="6">
        <v>3.6999999999999998E-2</v>
      </c>
      <c r="AJ33" s="6">
        <v>1.0999999999999999E-2</v>
      </c>
      <c r="AK33" s="6">
        <v>0.69699999999999995</v>
      </c>
      <c r="AL33" s="6">
        <v>0.27</v>
      </c>
      <c r="AM33" s="6">
        <v>0.188</v>
      </c>
      <c r="AN33" s="6">
        <v>0.245</v>
      </c>
      <c r="AO33" s="6">
        <v>0.20799999999999999</v>
      </c>
    </row>
    <row r="34" spans="1:41">
      <c r="A34" s="5" t="s">
        <v>134</v>
      </c>
      <c r="B34" s="6">
        <v>0.16700000000000001</v>
      </c>
      <c r="C34" s="8">
        <v>3.0000000000000001E-3</v>
      </c>
      <c r="D34" s="8">
        <v>3.3000000000000002E-2</v>
      </c>
      <c r="E34" s="8">
        <v>8.2000000000000003E-2</v>
      </c>
      <c r="F34" s="8">
        <v>3.0000000000000001E-3</v>
      </c>
      <c r="G34" s="6">
        <v>5.1999999999999998E-2</v>
      </c>
      <c r="H34" s="8">
        <v>3.3000000000000002E-2</v>
      </c>
      <c r="I34" s="6">
        <v>5.5E-2</v>
      </c>
      <c r="J34" s="8">
        <v>5.0000000000000001E-3</v>
      </c>
      <c r="K34" s="6">
        <v>3.7999999999999999E-2</v>
      </c>
      <c r="L34" s="6">
        <v>3.0000000000000001E-3</v>
      </c>
      <c r="M34" s="8">
        <v>4.2999999999999997E-2</v>
      </c>
      <c r="N34" s="8">
        <v>4.7E-2</v>
      </c>
      <c r="O34" s="8">
        <v>5.0000000000000001E-3</v>
      </c>
      <c r="P34" s="8">
        <v>2E-3</v>
      </c>
      <c r="Q34" s="8">
        <v>0.03</v>
      </c>
      <c r="R34" s="8">
        <v>0.307</v>
      </c>
      <c r="S34" s="8">
        <v>0.20399999999999999</v>
      </c>
      <c r="T34" s="6">
        <v>0.47699999999999998</v>
      </c>
      <c r="U34" s="6">
        <v>2.3E-2</v>
      </c>
      <c r="V34" s="6">
        <v>0.435</v>
      </c>
      <c r="W34" s="6">
        <v>0.05</v>
      </c>
      <c r="X34" s="6">
        <v>5.2999999999999999E-2</v>
      </c>
      <c r="Y34" s="6">
        <v>0.38700000000000001</v>
      </c>
      <c r="Z34" s="8">
        <v>8.7999999999999995E-2</v>
      </c>
      <c r="AA34" s="8">
        <v>1.6E-2</v>
      </c>
      <c r="AB34" s="8">
        <v>0.156</v>
      </c>
      <c r="AC34" s="8">
        <v>0</v>
      </c>
      <c r="AD34" s="6">
        <v>2.3E-2</v>
      </c>
      <c r="AE34" s="6">
        <v>3.2000000000000001E-2</v>
      </c>
      <c r="AF34" s="6">
        <v>8.9999999999999993E-3</v>
      </c>
      <c r="AG34" s="6">
        <v>0.114</v>
      </c>
      <c r="AH34" s="8">
        <v>2E-3</v>
      </c>
      <c r="AI34" s="6">
        <v>2.8000000000000001E-2</v>
      </c>
      <c r="AJ34" s="6">
        <v>5.0999999999999997E-2</v>
      </c>
      <c r="AK34" s="6">
        <v>7.8E-2</v>
      </c>
      <c r="AL34" s="6">
        <v>0.26600000000000001</v>
      </c>
      <c r="AM34" s="6">
        <v>0.214</v>
      </c>
      <c r="AN34" s="6">
        <v>0.26100000000000001</v>
      </c>
      <c r="AO34" s="6">
        <v>0.30299999999999999</v>
      </c>
    </row>
    <row r="35" spans="1:41">
      <c r="A35" s="5" t="s">
        <v>135</v>
      </c>
      <c r="B35" s="6">
        <v>0.65400000000000003</v>
      </c>
      <c r="C35" s="8">
        <v>4.0000000000000001E-3</v>
      </c>
      <c r="D35" s="8">
        <v>5.3999999999999999E-2</v>
      </c>
      <c r="E35" s="6">
        <v>0.40400000000000003</v>
      </c>
      <c r="F35" s="8">
        <v>3.0000000000000001E-3</v>
      </c>
      <c r="G35" s="8">
        <v>2.1999999999999999E-2</v>
      </c>
      <c r="H35" s="6">
        <v>7.2999999999999995E-2</v>
      </c>
      <c r="I35" s="6">
        <v>0.373</v>
      </c>
      <c r="J35" s="6">
        <v>0.187</v>
      </c>
      <c r="K35" s="6">
        <v>0.121</v>
      </c>
      <c r="L35" s="6">
        <v>3.0000000000000001E-3</v>
      </c>
      <c r="M35" s="6">
        <v>0.436</v>
      </c>
      <c r="N35" s="6">
        <v>0.35599999999999998</v>
      </c>
      <c r="O35" s="6">
        <v>0.02</v>
      </c>
      <c r="P35" s="8">
        <v>4.0000000000000001E-3</v>
      </c>
      <c r="Q35" s="6">
        <v>0.10299999999999999</v>
      </c>
      <c r="R35" s="6">
        <v>1.1479999999999999</v>
      </c>
      <c r="S35" s="6">
        <v>0.35299999999999998</v>
      </c>
      <c r="T35" s="6">
        <v>0.41499999999999998</v>
      </c>
      <c r="U35" s="8">
        <v>1.0999999999999999E-2</v>
      </c>
      <c r="V35" s="8">
        <v>0.154</v>
      </c>
      <c r="W35" s="6">
        <v>2.5999999999999999E-2</v>
      </c>
      <c r="X35" s="6">
        <v>0.17699999999999999</v>
      </c>
      <c r="Y35" s="6">
        <v>1.1419999999999999</v>
      </c>
      <c r="Z35" s="6">
        <v>0.379</v>
      </c>
      <c r="AA35" s="6">
        <v>1.5820000000000001</v>
      </c>
      <c r="AB35" s="8">
        <v>0.11</v>
      </c>
      <c r="AC35" s="8">
        <v>5.0000000000000001E-3</v>
      </c>
      <c r="AD35" s="6">
        <v>2.4E-2</v>
      </c>
      <c r="AE35" s="6">
        <v>0.70499999999999996</v>
      </c>
      <c r="AF35" s="6">
        <v>0.124</v>
      </c>
      <c r="AG35" s="6">
        <v>0.372</v>
      </c>
      <c r="AH35" s="8">
        <v>0</v>
      </c>
      <c r="AI35" s="6">
        <v>7.3999999999999996E-2</v>
      </c>
      <c r="AJ35" s="6">
        <v>2.1999999999999999E-2</v>
      </c>
      <c r="AK35" s="6">
        <v>1.115</v>
      </c>
      <c r="AL35" s="6">
        <v>0.215</v>
      </c>
      <c r="AM35" s="6">
        <v>0.17399999999999999</v>
      </c>
      <c r="AN35" s="6">
        <v>0.223</v>
      </c>
      <c r="AO35" s="8">
        <v>0.127</v>
      </c>
    </row>
    <row r="36" spans="1:41">
      <c r="A36" s="5" t="s">
        <v>136</v>
      </c>
      <c r="B36" s="6">
        <v>0.42799999999999999</v>
      </c>
      <c r="C36" s="6">
        <v>8.0000000000000002E-3</v>
      </c>
      <c r="D36" s="6">
        <v>0.113</v>
      </c>
      <c r="E36" s="6">
        <v>0.28000000000000003</v>
      </c>
      <c r="F36" s="8">
        <v>8.0000000000000002E-3</v>
      </c>
      <c r="G36" s="6">
        <v>0.05</v>
      </c>
      <c r="H36" s="8">
        <v>5.7000000000000002E-2</v>
      </c>
      <c r="I36" s="6">
        <v>0.27300000000000002</v>
      </c>
      <c r="J36" s="6">
        <v>0.19800000000000001</v>
      </c>
      <c r="K36" s="8">
        <v>2.7E-2</v>
      </c>
      <c r="L36" s="6">
        <v>4.0000000000000001E-3</v>
      </c>
      <c r="M36" s="8">
        <v>0.125</v>
      </c>
      <c r="N36" s="6">
        <v>0.16500000000000001</v>
      </c>
      <c r="O36" s="6">
        <v>2.5999999999999999E-2</v>
      </c>
      <c r="P36" s="6">
        <v>8.0000000000000002E-3</v>
      </c>
      <c r="Q36" s="6">
        <v>6.2E-2</v>
      </c>
      <c r="R36" s="6">
        <v>0.80800000000000005</v>
      </c>
      <c r="S36" s="6">
        <v>0.40899999999999997</v>
      </c>
      <c r="T36" s="8">
        <v>0.31</v>
      </c>
      <c r="U36" s="8">
        <v>1.2999999999999999E-2</v>
      </c>
      <c r="V36" s="6">
        <v>0.51800000000000002</v>
      </c>
      <c r="W36" s="8">
        <v>7.0000000000000001E-3</v>
      </c>
      <c r="X36" s="8">
        <v>1.0999999999999999E-2</v>
      </c>
      <c r="Y36" s="6">
        <v>0.73799999999999999</v>
      </c>
      <c r="Z36" s="6">
        <v>0.27</v>
      </c>
      <c r="AA36" s="6">
        <v>2.8000000000000001E-2</v>
      </c>
      <c r="AB36" s="8">
        <v>0.125</v>
      </c>
      <c r="AC36" s="8">
        <v>8.9999999999999993E-3</v>
      </c>
      <c r="AD36" s="6">
        <v>0.01</v>
      </c>
      <c r="AE36" s="8">
        <v>8.0000000000000002E-3</v>
      </c>
      <c r="AF36" s="6">
        <v>8.0000000000000002E-3</v>
      </c>
      <c r="AG36" s="8">
        <v>0.03</v>
      </c>
      <c r="AH36" s="8">
        <v>0</v>
      </c>
      <c r="AI36" s="8">
        <v>1.4E-2</v>
      </c>
      <c r="AJ36" s="6">
        <v>6.0000000000000001E-3</v>
      </c>
      <c r="AK36" s="6">
        <v>0.15</v>
      </c>
      <c r="AL36" s="6">
        <v>0.17100000000000001</v>
      </c>
      <c r="AM36" s="6">
        <v>0.17899999999999999</v>
      </c>
      <c r="AN36" s="8">
        <v>0.19</v>
      </c>
      <c r="AO36" s="6">
        <v>0.14199999999999999</v>
      </c>
    </row>
    <row r="37" spans="1:41">
      <c r="A37" s="5" t="s">
        <v>137</v>
      </c>
      <c r="B37" s="6">
        <v>0.51800000000000002</v>
      </c>
      <c r="C37" s="8">
        <v>6.0000000000000001E-3</v>
      </c>
      <c r="D37" s="8">
        <v>0.05</v>
      </c>
      <c r="E37" s="6">
        <v>0.39900000000000002</v>
      </c>
      <c r="F37" s="8">
        <v>4.0000000000000001E-3</v>
      </c>
      <c r="G37" s="8">
        <v>2.1999999999999999E-2</v>
      </c>
      <c r="H37" s="6">
        <v>6.3E-2</v>
      </c>
      <c r="I37" s="6">
        <v>0.29499999999999998</v>
      </c>
      <c r="J37" s="6">
        <v>0.16700000000000001</v>
      </c>
      <c r="K37" s="8">
        <v>1.7000000000000001E-2</v>
      </c>
      <c r="L37" s="6">
        <v>5.0000000000000001E-3</v>
      </c>
      <c r="M37" s="6">
        <v>0.28799999999999998</v>
      </c>
      <c r="N37" s="6">
        <v>0.187</v>
      </c>
      <c r="O37" s="6">
        <v>4.7E-2</v>
      </c>
      <c r="P37" s="8">
        <v>2E-3</v>
      </c>
      <c r="Q37" s="6">
        <v>6.7000000000000004E-2</v>
      </c>
      <c r="R37" s="6">
        <v>1.123</v>
      </c>
      <c r="S37" s="6">
        <v>0.33300000000000002</v>
      </c>
      <c r="T37" s="6">
        <v>0.376</v>
      </c>
      <c r="U37" s="6">
        <v>2.1999999999999999E-2</v>
      </c>
      <c r="V37" s="6">
        <v>0.74</v>
      </c>
      <c r="W37" s="8">
        <v>1.0999999999999999E-2</v>
      </c>
      <c r="X37" s="8">
        <v>1.7000000000000001E-2</v>
      </c>
      <c r="Y37" s="6">
        <v>0.73499999999999999</v>
      </c>
      <c r="Z37" s="6">
        <v>0.47299999999999998</v>
      </c>
      <c r="AA37" s="8">
        <v>8.9999999999999993E-3</v>
      </c>
      <c r="AB37" s="8">
        <v>0.16200000000000001</v>
      </c>
      <c r="AC37" s="8">
        <v>4.0000000000000001E-3</v>
      </c>
      <c r="AD37" s="6">
        <v>1.9E-2</v>
      </c>
      <c r="AE37" s="8">
        <v>1.7999999999999999E-2</v>
      </c>
      <c r="AF37" s="8">
        <v>5.0000000000000001E-3</v>
      </c>
      <c r="AG37" s="8">
        <v>1.2E-2</v>
      </c>
      <c r="AH37" s="6">
        <v>7.0000000000000001E-3</v>
      </c>
      <c r="AI37" s="8">
        <v>1.7000000000000001E-2</v>
      </c>
      <c r="AJ37" s="6">
        <v>7.0000000000000001E-3</v>
      </c>
      <c r="AK37" s="6">
        <v>0.14399999999999999</v>
      </c>
      <c r="AL37" s="6">
        <v>0.26</v>
      </c>
      <c r="AM37" s="6">
        <v>0.20699999999999999</v>
      </c>
      <c r="AN37" s="6">
        <v>0.26200000000000001</v>
      </c>
      <c r="AO37" s="6">
        <v>0.218</v>
      </c>
    </row>
    <row r="38" spans="1:41">
      <c r="A38" s="5" t="s">
        <v>138</v>
      </c>
      <c r="B38" s="6">
        <v>0.254</v>
      </c>
      <c r="C38" s="6">
        <v>1.0999999999999999E-2</v>
      </c>
      <c r="D38" s="8">
        <v>6.0999999999999999E-2</v>
      </c>
      <c r="E38" s="6">
        <v>1.1950000000000001</v>
      </c>
      <c r="F38" s="8">
        <v>7.0000000000000001E-3</v>
      </c>
      <c r="G38" s="8">
        <v>3.1E-2</v>
      </c>
      <c r="H38" s="8">
        <v>4.3999999999999997E-2</v>
      </c>
      <c r="I38" s="6">
        <v>0.72799999999999998</v>
      </c>
      <c r="J38" s="6">
        <v>0.48599999999999999</v>
      </c>
      <c r="K38" s="6">
        <v>7.0000000000000007E-2</v>
      </c>
      <c r="L38" s="6">
        <v>4.0000000000000001E-3</v>
      </c>
      <c r="M38" s="6">
        <v>0.66600000000000004</v>
      </c>
      <c r="N38" s="6">
        <v>0.6</v>
      </c>
      <c r="O38" s="6">
        <v>5.6000000000000001E-2</v>
      </c>
      <c r="P38" s="6">
        <v>6.0000000000000001E-3</v>
      </c>
      <c r="Q38" s="6">
        <v>5.8000000000000003E-2</v>
      </c>
      <c r="R38" s="7">
        <v>2.294</v>
      </c>
      <c r="S38" s="6">
        <v>0.52100000000000002</v>
      </c>
      <c r="T38" s="6">
        <v>0.59199999999999997</v>
      </c>
      <c r="U38" s="6">
        <v>5.2999999999999999E-2</v>
      </c>
      <c r="V38" s="6">
        <v>0.60699999999999998</v>
      </c>
      <c r="W38" s="6">
        <v>2.1999999999999999E-2</v>
      </c>
      <c r="X38" s="6">
        <v>0.17799999999999999</v>
      </c>
      <c r="Y38" s="6">
        <v>1.575</v>
      </c>
      <c r="Z38" s="6">
        <v>0.39900000000000002</v>
      </c>
      <c r="AA38" s="6">
        <v>5.7000000000000002E-2</v>
      </c>
      <c r="AB38" s="8">
        <v>0.152</v>
      </c>
      <c r="AC38" s="8">
        <v>5.0000000000000001E-3</v>
      </c>
      <c r="AD38" s="8">
        <v>0</v>
      </c>
      <c r="AE38" s="8">
        <v>2.1999999999999999E-2</v>
      </c>
      <c r="AF38" s="6">
        <v>2.1000000000000001E-2</v>
      </c>
      <c r="AG38" s="8">
        <v>1.0999999999999999E-2</v>
      </c>
      <c r="AH38" s="8">
        <v>1E-3</v>
      </c>
      <c r="AI38" s="8">
        <v>1.7000000000000001E-2</v>
      </c>
      <c r="AJ38" s="8">
        <v>1E-3</v>
      </c>
      <c r="AK38" s="6">
        <v>0.89100000000000001</v>
      </c>
      <c r="AL38" s="6">
        <v>0.23</v>
      </c>
      <c r="AM38" s="6">
        <v>0.20399999999999999</v>
      </c>
      <c r="AN38" s="6">
        <v>0.27100000000000002</v>
      </c>
      <c r="AO38" s="6">
        <v>0.187</v>
      </c>
    </row>
    <row r="39" spans="1:41">
      <c r="A39" s="5" t="s">
        <v>139</v>
      </c>
      <c r="B39" s="6">
        <v>0.154</v>
      </c>
      <c r="C39" s="8">
        <v>6.0000000000000001E-3</v>
      </c>
      <c r="D39" s="8">
        <v>1.7999999999999999E-2</v>
      </c>
      <c r="E39" s="6">
        <v>0.14099999999999999</v>
      </c>
      <c r="F39" s="8">
        <v>0.01</v>
      </c>
      <c r="G39" s="8">
        <v>2.5000000000000001E-2</v>
      </c>
      <c r="H39" s="6">
        <v>0.08</v>
      </c>
      <c r="I39" s="8">
        <v>0.03</v>
      </c>
      <c r="J39" s="6">
        <v>1.4E-2</v>
      </c>
      <c r="K39" s="8">
        <v>2.7E-2</v>
      </c>
      <c r="L39" s="8">
        <v>1E-3</v>
      </c>
      <c r="M39" s="6">
        <v>0.23</v>
      </c>
      <c r="N39" s="8">
        <v>1.4999999999999999E-2</v>
      </c>
      <c r="O39" s="8">
        <v>4.0000000000000001E-3</v>
      </c>
      <c r="P39" s="8">
        <v>0</v>
      </c>
      <c r="Q39" s="6">
        <v>4.8000000000000001E-2</v>
      </c>
      <c r="R39" s="8">
        <v>0.13900000000000001</v>
      </c>
      <c r="S39" s="8">
        <v>0.20200000000000001</v>
      </c>
      <c r="T39" s="8">
        <v>0.20200000000000001</v>
      </c>
      <c r="U39" s="8">
        <v>0</v>
      </c>
      <c r="V39" s="8">
        <v>0.20399999999999999</v>
      </c>
      <c r="W39" s="8">
        <v>0.01</v>
      </c>
      <c r="X39" s="6">
        <v>7.8E-2</v>
      </c>
      <c r="Y39" s="8">
        <v>0.29299999999999998</v>
      </c>
      <c r="Z39" s="6">
        <v>0.39900000000000002</v>
      </c>
      <c r="AA39" s="8">
        <v>2.4E-2</v>
      </c>
      <c r="AB39" s="6">
        <v>0.21299999999999999</v>
      </c>
      <c r="AC39" s="8">
        <v>5.0000000000000001E-3</v>
      </c>
      <c r="AD39" s="8">
        <v>5.0000000000000001E-3</v>
      </c>
      <c r="AE39" s="8">
        <v>1.2999999999999999E-2</v>
      </c>
      <c r="AF39" s="8">
        <v>0</v>
      </c>
      <c r="AG39" s="8">
        <v>2.8000000000000001E-2</v>
      </c>
      <c r="AH39" s="8">
        <v>1E-3</v>
      </c>
      <c r="AI39" s="8">
        <v>0</v>
      </c>
      <c r="AJ39" s="6">
        <v>5.0000000000000001E-3</v>
      </c>
      <c r="AK39" s="8">
        <v>4.3999999999999997E-2</v>
      </c>
      <c r="AL39" s="8">
        <v>0.16500000000000001</v>
      </c>
      <c r="AM39" s="6">
        <v>0.15</v>
      </c>
      <c r="AN39" s="8">
        <v>0.189</v>
      </c>
      <c r="AO39" s="6">
        <v>0.20300000000000001</v>
      </c>
    </row>
    <row r="40" spans="1:41">
      <c r="A40" s="5" t="s">
        <v>140</v>
      </c>
      <c r="B40" s="6">
        <v>1.502</v>
      </c>
      <c r="C40" s="6">
        <v>1.4E-2</v>
      </c>
      <c r="D40" s="8">
        <v>0</v>
      </c>
      <c r="E40" s="6">
        <v>1.518</v>
      </c>
      <c r="F40" s="6">
        <v>1.6E-2</v>
      </c>
      <c r="G40" s="6">
        <v>4.7E-2</v>
      </c>
      <c r="H40" s="8">
        <v>4.7E-2</v>
      </c>
      <c r="I40" s="6">
        <v>1.4630000000000001</v>
      </c>
      <c r="J40" s="6">
        <v>0.68600000000000005</v>
      </c>
      <c r="K40" s="6">
        <v>4.3999999999999997E-2</v>
      </c>
      <c r="L40" s="8">
        <v>1E-3</v>
      </c>
      <c r="M40" s="6">
        <v>0.58499999999999996</v>
      </c>
      <c r="N40" s="6">
        <v>0.52200000000000002</v>
      </c>
      <c r="O40" s="6">
        <v>6.3E-2</v>
      </c>
      <c r="P40" s="8">
        <v>4.0000000000000001E-3</v>
      </c>
      <c r="Q40" s="6">
        <v>4.2999999999999997E-2</v>
      </c>
      <c r="R40" s="6">
        <v>1.93</v>
      </c>
      <c r="S40" s="6">
        <v>0.442</v>
      </c>
      <c r="T40" s="6">
        <v>0.67400000000000004</v>
      </c>
      <c r="U40" s="8">
        <v>4.0000000000000001E-3</v>
      </c>
      <c r="V40" s="8">
        <v>0.253</v>
      </c>
      <c r="W40" s="8">
        <v>1.7999999999999999E-2</v>
      </c>
      <c r="X40" s="6">
        <v>0.09</v>
      </c>
      <c r="Y40" s="6">
        <v>1.518</v>
      </c>
      <c r="Z40" s="6">
        <v>0.30599999999999999</v>
      </c>
      <c r="AA40" s="6">
        <v>6.3E-2</v>
      </c>
      <c r="AB40" s="8">
        <v>0.122</v>
      </c>
      <c r="AC40" s="8">
        <v>1E-3</v>
      </c>
      <c r="AD40" s="6">
        <v>8.0000000000000002E-3</v>
      </c>
      <c r="AE40" s="6">
        <v>5.6000000000000001E-2</v>
      </c>
      <c r="AF40" s="6">
        <v>0.01</v>
      </c>
      <c r="AG40" s="8">
        <v>3.2000000000000001E-2</v>
      </c>
      <c r="AH40" s="6">
        <v>8.9999999999999993E-3</v>
      </c>
      <c r="AI40" s="8">
        <v>8.9999999999999993E-3</v>
      </c>
      <c r="AJ40" s="8">
        <v>0</v>
      </c>
      <c r="AK40" s="6">
        <v>0.3</v>
      </c>
      <c r="AL40" s="8">
        <v>0.14199999999999999</v>
      </c>
      <c r="AM40" s="6">
        <v>0.14099999999999999</v>
      </c>
      <c r="AN40" s="8">
        <v>0.17899999999999999</v>
      </c>
      <c r="AO40" s="8">
        <v>0.13700000000000001</v>
      </c>
    </row>
    <row r="41" spans="1:41">
      <c r="A41" s="5" t="s">
        <v>141</v>
      </c>
      <c r="B41" s="6">
        <v>0.71299999999999997</v>
      </c>
      <c r="C41" s="8">
        <v>6.0000000000000001E-3</v>
      </c>
      <c r="D41" s="6">
        <v>6.7000000000000004E-2</v>
      </c>
      <c r="E41" s="6">
        <v>1.107</v>
      </c>
      <c r="F41" s="8">
        <v>6.0000000000000001E-3</v>
      </c>
      <c r="G41" s="6">
        <v>4.5999999999999999E-2</v>
      </c>
      <c r="H41" s="6">
        <v>8.3000000000000004E-2</v>
      </c>
      <c r="I41" s="6">
        <v>1.1279999999999999</v>
      </c>
      <c r="J41" s="6">
        <v>0.439</v>
      </c>
      <c r="K41" s="6">
        <v>3.6999999999999998E-2</v>
      </c>
      <c r="L41" s="6">
        <v>5.0000000000000001E-3</v>
      </c>
      <c r="M41" s="8">
        <v>0.16600000000000001</v>
      </c>
      <c r="N41" s="6">
        <v>0.42899999999999999</v>
      </c>
      <c r="O41" s="6">
        <v>4.1000000000000002E-2</v>
      </c>
      <c r="P41" s="8">
        <v>4.0000000000000001E-3</v>
      </c>
      <c r="Q41" s="8">
        <v>1.4E-2</v>
      </c>
      <c r="R41" s="6">
        <v>1.35</v>
      </c>
      <c r="S41" s="6">
        <v>0.316</v>
      </c>
      <c r="T41" s="6">
        <v>0.44</v>
      </c>
      <c r="U41" s="8">
        <v>8.0000000000000002E-3</v>
      </c>
      <c r="V41" s="6">
        <v>0.27700000000000002</v>
      </c>
      <c r="W41" s="6">
        <v>3.5000000000000003E-2</v>
      </c>
      <c r="X41" s="8">
        <v>1.7999999999999999E-2</v>
      </c>
      <c r="Y41" s="6">
        <v>1.298</v>
      </c>
      <c r="Z41" s="6">
        <v>0.38600000000000001</v>
      </c>
      <c r="AA41" s="6">
        <v>3.3000000000000002E-2</v>
      </c>
      <c r="AB41" s="8">
        <v>0.13700000000000001</v>
      </c>
      <c r="AC41" s="8">
        <v>3.0000000000000001E-3</v>
      </c>
      <c r="AD41" s="8">
        <v>7.0000000000000001E-3</v>
      </c>
      <c r="AE41" s="8">
        <v>1.7999999999999999E-2</v>
      </c>
      <c r="AF41" s="6">
        <v>1.2999999999999999E-2</v>
      </c>
      <c r="AG41" s="8">
        <v>1.0999999999999999E-2</v>
      </c>
      <c r="AH41" s="8">
        <v>1E-3</v>
      </c>
      <c r="AI41" s="8">
        <v>1.2999999999999999E-2</v>
      </c>
      <c r="AJ41" s="6">
        <v>5.0000000000000001E-3</v>
      </c>
      <c r="AK41" s="6">
        <v>0.20399999999999999</v>
      </c>
      <c r="AL41" s="8">
        <v>0.13300000000000001</v>
      </c>
      <c r="AM41" s="8">
        <v>0.107</v>
      </c>
      <c r="AN41" s="8">
        <v>0.13400000000000001</v>
      </c>
      <c r="AO41" s="8">
        <v>0.08</v>
      </c>
    </row>
    <row r="42" spans="1:41">
      <c r="A42" s="5" t="s">
        <v>142</v>
      </c>
      <c r="B42" s="6">
        <v>2.2160000000000002</v>
      </c>
      <c r="C42" s="6">
        <v>1.2E-2</v>
      </c>
      <c r="D42" s="6">
        <v>6.3E-2</v>
      </c>
      <c r="E42" s="6">
        <v>1.41</v>
      </c>
      <c r="F42" s="8">
        <v>8.0000000000000002E-3</v>
      </c>
      <c r="G42" s="8">
        <v>2.8000000000000001E-2</v>
      </c>
      <c r="H42" s="6">
        <v>7.4999999999999997E-2</v>
      </c>
      <c r="I42" s="6">
        <v>1.2010000000000001</v>
      </c>
      <c r="J42" s="6">
        <v>1.085</v>
      </c>
      <c r="K42" s="6">
        <v>0.10199999999999999</v>
      </c>
      <c r="L42" s="6">
        <v>3.0000000000000001E-3</v>
      </c>
      <c r="M42" s="6">
        <v>0.5</v>
      </c>
      <c r="N42" s="6">
        <v>1.367</v>
      </c>
      <c r="O42" s="6">
        <v>0.124</v>
      </c>
      <c r="P42" s="6">
        <v>8.0000000000000002E-3</v>
      </c>
      <c r="Q42" s="8">
        <v>2.1000000000000001E-2</v>
      </c>
      <c r="R42" s="7">
        <v>3.52</v>
      </c>
      <c r="S42" s="6">
        <v>0.94699999999999995</v>
      </c>
      <c r="T42" s="6">
        <v>0.65200000000000002</v>
      </c>
      <c r="U42" s="6">
        <v>0.13300000000000001</v>
      </c>
      <c r="V42" s="8">
        <v>0.188</v>
      </c>
      <c r="W42" s="8">
        <v>1.2E-2</v>
      </c>
      <c r="X42" s="6">
        <v>0.14000000000000001</v>
      </c>
      <c r="Y42" s="6">
        <v>2.0760000000000001</v>
      </c>
      <c r="Z42" s="6">
        <v>0.28000000000000003</v>
      </c>
      <c r="AA42" s="6">
        <v>0.128</v>
      </c>
      <c r="AB42" s="8">
        <v>0.129</v>
      </c>
      <c r="AC42" s="8">
        <v>4.0000000000000001E-3</v>
      </c>
      <c r="AD42" s="6">
        <v>0.01</v>
      </c>
      <c r="AE42" s="6">
        <v>4.2999999999999997E-2</v>
      </c>
      <c r="AF42" s="6">
        <v>5.6000000000000001E-2</v>
      </c>
      <c r="AG42" s="8">
        <v>2.1999999999999999E-2</v>
      </c>
      <c r="AH42" s="8">
        <v>3.0000000000000001E-3</v>
      </c>
      <c r="AI42" s="8">
        <v>7.0000000000000001E-3</v>
      </c>
      <c r="AJ42" s="6">
        <v>1.6E-2</v>
      </c>
      <c r="AK42" s="6">
        <v>0.432</v>
      </c>
      <c r="AL42" s="6">
        <v>0.22</v>
      </c>
      <c r="AM42" s="6">
        <v>0.19700000000000001</v>
      </c>
      <c r="AN42" s="6">
        <v>0.247</v>
      </c>
      <c r="AO42" s="6">
        <v>0.185</v>
      </c>
    </row>
    <row r="43" spans="1:41">
      <c r="A43" s="5" t="s">
        <v>143</v>
      </c>
      <c r="B43" s="6">
        <v>0.73199999999999998</v>
      </c>
      <c r="C43" s="8">
        <v>4.0000000000000001E-3</v>
      </c>
      <c r="D43" s="8">
        <v>0</v>
      </c>
      <c r="E43" s="6">
        <v>0.23799999999999999</v>
      </c>
      <c r="F43" s="6">
        <v>1.2E-2</v>
      </c>
      <c r="G43" s="6">
        <v>0.10299999999999999</v>
      </c>
      <c r="H43" s="6">
        <v>7.3999999999999996E-2</v>
      </c>
      <c r="I43" s="6">
        <v>0.19</v>
      </c>
      <c r="J43" s="6">
        <v>0.52</v>
      </c>
      <c r="K43" s="6">
        <v>6.5000000000000002E-2</v>
      </c>
      <c r="L43" s="6">
        <v>0.01</v>
      </c>
      <c r="M43" s="6">
        <v>0.187</v>
      </c>
      <c r="N43" s="6">
        <v>0.22900000000000001</v>
      </c>
      <c r="O43" s="6">
        <v>8.1000000000000003E-2</v>
      </c>
      <c r="P43" s="8">
        <v>2E-3</v>
      </c>
      <c r="Q43" s="6">
        <v>4.2000000000000003E-2</v>
      </c>
      <c r="R43" s="6">
        <v>0.86899999999999999</v>
      </c>
      <c r="S43" s="6">
        <v>0.45200000000000001</v>
      </c>
      <c r="T43" s="8">
        <v>0.34100000000000003</v>
      </c>
      <c r="U43" s="6">
        <v>1.4E-2</v>
      </c>
      <c r="V43" s="6">
        <v>0.36599999999999999</v>
      </c>
      <c r="W43" s="6">
        <v>4.1000000000000002E-2</v>
      </c>
      <c r="X43" s="8">
        <v>3.2000000000000001E-2</v>
      </c>
      <c r="Y43" s="6">
        <v>0.91900000000000004</v>
      </c>
      <c r="Z43" s="6">
        <v>0.38</v>
      </c>
      <c r="AA43" s="8">
        <v>2.1000000000000001E-2</v>
      </c>
      <c r="AB43" s="8">
        <v>0.121</v>
      </c>
      <c r="AC43" s="8">
        <v>1E-3</v>
      </c>
      <c r="AD43" s="8">
        <v>7.0000000000000001E-3</v>
      </c>
      <c r="AE43" s="8">
        <v>0.01</v>
      </c>
      <c r="AF43" s="8">
        <v>2E-3</v>
      </c>
      <c r="AG43" s="8">
        <v>7.0000000000000001E-3</v>
      </c>
      <c r="AH43" s="8">
        <v>0</v>
      </c>
      <c r="AI43" s="8">
        <v>8.9999999999999993E-3</v>
      </c>
      <c r="AJ43" s="6">
        <v>7.0000000000000001E-3</v>
      </c>
      <c r="AK43" s="6">
        <v>0.79400000000000004</v>
      </c>
      <c r="AL43" s="6">
        <v>0.224</v>
      </c>
      <c r="AM43" s="6">
        <v>0.2</v>
      </c>
      <c r="AN43" s="6">
        <v>0.26100000000000001</v>
      </c>
      <c r="AO43" s="6">
        <v>0.184</v>
      </c>
    </row>
    <row r="44" spans="1:41">
      <c r="A44" s="5" t="s">
        <v>144</v>
      </c>
      <c r="B44" s="6">
        <v>3.5289999999999999</v>
      </c>
      <c r="C44" s="6">
        <v>7.0000000000000001E-3</v>
      </c>
      <c r="D44" s="6">
        <v>0.38500000000000001</v>
      </c>
      <c r="E44" s="7">
        <v>6.6</v>
      </c>
      <c r="F44" s="6">
        <v>1.0999999999999999E-2</v>
      </c>
      <c r="G44" s="6">
        <v>6.3E-2</v>
      </c>
      <c r="H44" s="8">
        <v>0.05</v>
      </c>
      <c r="I44" s="7">
        <v>7.5330000000000004</v>
      </c>
      <c r="J44" s="7">
        <v>2.8130000000000002</v>
      </c>
      <c r="K44" s="6">
        <v>5.0999999999999997E-2</v>
      </c>
      <c r="L44" s="6">
        <v>8.9999999999999993E-3</v>
      </c>
      <c r="M44" s="6">
        <v>0.34599999999999997</v>
      </c>
      <c r="N44" s="7">
        <v>3.6640000000000001</v>
      </c>
      <c r="O44" s="6">
        <v>0.109</v>
      </c>
      <c r="P44" s="8">
        <v>4.0000000000000001E-3</v>
      </c>
      <c r="Q44" s="6">
        <v>0.109</v>
      </c>
      <c r="R44" s="7">
        <v>8.5820000000000007</v>
      </c>
      <c r="S44" s="6">
        <v>0.74</v>
      </c>
      <c r="T44" s="6">
        <v>0.66500000000000004</v>
      </c>
      <c r="U44" s="6">
        <v>5.5E-2</v>
      </c>
      <c r="V44" s="6">
        <v>0.629</v>
      </c>
      <c r="W44" s="8">
        <v>1.2E-2</v>
      </c>
      <c r="X44" s="6">
        <v>9.8000000000000004E-2</v>
      </c>
      <c r="Y44" s="6">
        <v>1.853</v>
      </c>
      <c r="Z44" s="6">
        <v>0.39</v>
      </c>
      <c r="AA44" s="6">
        <v>2.8000000000000001E-2</v>
      </c>
      <c r="AB44" s="8">
        <v>0.151</v>
      </c>
      <c r="AC44" s="8">
        <v>0</v>
      </c>
      <c r="AD44" s="6">
        <v>1.0999999999999999E-2</v>
      </c>
      <c r="AE44" s="8">
        <v>0.02</v>
      </c>
      <c r="AF44" s="6">
        <v>2.5000000000000001E-2</v>
      </c>
      <c r="AG44" s="8">
        <v>0.02</v>
      </c>
      <c r="AH44" s="8">
        <v>3.0000000000000001E-3</v>
      </c>
      <c r="AI44" s="8">
        <v>1.2999999999999999E-2</v>
      </c>
      <c r="AJ44" s="6">
        <v>5.0000000000000001E-3</v>
      </c>
      <c r="AK44" s="6">
        <v>0.32400000000000001</v>
      </c>
      <c r="AL44" s="8">
        <v>0.14799999999999999</v>
      </c>
      <c r="AM44" s="6">
        <v>0.13300000000000001</v>
      </c>
      <c r="AN44" s="8">
        <v>0.187</v>
      </c>
      <c r="AO44" s="6">
        <v>0.14599999999999999</v>
      </c>
    </row>
    <row r="45" spans="1:41">
      <c r="A45" s="5" t="s">
        <v>145</v>
      </c>
      <c r="B45" s="6">
        <v>3.8780000000000001</v>
      </c>
      <c r="C45" s="6">
        <v>8.9999999999999993E-3</v>
      </c>
      <c r="D45" s="6">
        <v>0.183</v>
      </c>
      <c r="E45" s="6">
        <v>2.9489999999999998</v>
      </c>
      <c r="F45" s="6">
        <v>1.9E-2</v>
      </c>
      <c r="G45" s="6">
        <v>4.1000000000000002E-2</v>
      </c>
      <c r="H45" s="8">
        <v>5.6000000000000001E-2</v>
      </c>
      <c r="I45" s="7">
        <v>2.786</v>
      </c>
      <c r="J45" s="7">
        <v>12.842000000000001</v>
      </c>
      <c r="K45" s="6">
        <v>0.112</v>
      </c>
      <c r="L45" s="6">
        <v>2.5999999999999999E-2</v>
      </c>
      <c r="M45" s="6">
        <v>0.65200000000000002</v>
      </c>
      <c r="N45" s="6">
        <v>1.1319999999999999</v>
      </c>
      <c r="O45" s="6">
        <v>0.127</v>
      </c>
      <c r="P45" s="8">
        <v>2E-3</v>
      </c>
      <c r="Q45" s="8">
        <v>2.5000000000000001E-2</v>
      </c>
      <c r="R45" s="7">
        <v>2.9990000000000001</v>
      </c>
      <c r="S45" s="6">
        <v>1.3340000000000001</v>
      </c>
      <c r="T45" s="6">
        <v>0.71</v>
      </c>
      <c r="U45" s="6">
        <v>0.20399999999999999</v>
      </c>
      <c r="V45" s="6">
        <v>0.51300000000000001</v>
      </c>
      <c r="W45" s="6">
        <v>3.1E-2</v>
      </c>
      <c r="X45" s="6">
        <v>0.23200000000000001</v>
      </c>
      <c r="Y45" s="7">
        <v>2.4220000000000002</v>
      </c>
      <c r="Z45" s="6">
        <v>0.23</v>
      </c>
      <c r="AA45" s="6">
        <v>0.13</v>
      </c>
      <c r="AB45" s="8">
        <v>0.09</v>
      </c>
      <c r="AC45" s="6">
        <v>1.2999999999999999E-2</v>
      </c>
      <c r="AD45" s="8">
        <v>5.0000000000000001E-3</v>
      </c>
      <c r="AE45" s="8">
        <v>2.9000000000000001E-2</v>
      </c>
      <c r="AF45" s="6">
        <v>3.5000000000000003E-2</v>
      </c>
      <c r="AG45" s="8">
        <v>1.4999999999999999E-2</v>
      </c>
      <c r="AH45" s="8">
        <v>4.0000000000000001E-3</v>
      </c>
      <c r="AI45" s="8">
        <v>1.4E-2</v>
      </c>
      <c r="AJ45" s="8">
        <v>1E-3</v>
      </c>
      <c r="AK45" s="6">
        <v>1.7849999999999999</v>
      </c>
      <c r="AL45" s="6">
        <v>0.189</v>
      </c>
      <c r="AM45" s="6">
        <v>0.161</v>
      </c>
      <c r="AN45" s="6">
        <v>0.23</v>
      </c>
      <c r="AO45" s="6">
        <v>0.19700000000000001</v>
      </c>
    </row>
    <row r="46" spans="1:41">
      <c r="A46" s="5" t="s">
        <v>146</v>
      </c>
      <c r="B46" s="6">
        <v>0.159</v>
      </c>
      <c r="C46" s="8">
        <v>5.0000000000000001E-3</v>
      </c>
      <c r="D46" s="8">
        <v>2.1000000000000001E-2</v>
      </c>
      <c r="E46" s="8">
        <v>0.109</v>
      </c>
      <c r="F46" s="6">
        <v>3.3000000000000002E-2</v>
      </c>
      <c r="G46" s="8">
        <v>7.0000000000000001E-3</v>
      </c>
      <c r="H46" s="8">
        <v>5.7000000000000002E-2</v>
      </c>
      <c r="I46" s="8">
        <v>2.4E-2</v>
      </c>
      <c r="J46" s="8">
        <v>3.0000000000000001E-3</v>
      </c>
      <c r="K46" s="6">
        <v>4.2999999999999997E-2</v>
      </c>
      <c r="L46" s="8">
        <v>1E-3</v>
      </c>
      <c r="M46" s="6">
        <v>0.187</v>
      </c>
      <c r="N46" s="8">
        <v>4.2000000000000003E-2</v>
      </c>
      <c r="O46" s="8">
        <v>6.0000000000000001E-3</v>
      </c>
      <c r="P46" s="8">
        <v>1E-3</v>
      </c>
      <c r="Q46" s="6">
        <v>4.8000000000000001E-2</v>
      </c>
      <c r="R46" s="8">
        <v>0.17499999999999999</v>
      </c>
      <c r="S46" s="8">
        <v>0.17299999999999999</v>
      </c>
      <c r="T46" s="8">
        <v>0.16200000000000001</v>
      </c>
      <c r="U46" s="8">
        <v>7.0000000000000001E-3</v>
      </c>
      <c r="V46" s="6">
        <v>0.26300000000000001</v>
      </c>
      <c r="W46" s="8">
        <v>1.2E-2</v>
      </c>
      <c r="X46" s="8">
        <v>2.1000000000000001E-2</v>
      </c>
      <c r="Y46" s="8">
        <v>0.30599999999999999</v>
      </c>
      <c r="Z46" s="6">
        <v>0.29899999999999999</v>
      </c>
      <c r="AA46" s="8">
        <v>0.02</v>
      </c>
      <c r="AB46" s="6">
        <v>0.20200000000000001</v>
      </c>
      <c r="AC46" s="8">
        <v>0</v>
      </c>
      <c r="AD46" s="6">
        <v>8.0000000000000002E-3</v>
      </c>
      <c r="AE46" s="8">
        <v>1.0999999999999999E-2</v>
      </c>
      <c r="AF46" s="8">
        <v>0</v>
      </c>
      <c r="AG46" s="8">
        <v>1.9E-2</v>
      </c>
      <c r="AH46" s="8">
        <v>2E-3</v>
      </c>
      <c r="AI46" s="6">
        <v>2.3E-2</v>
      </c>
      <c r="AJ46" s="8">
        <v>3.0000000000000001E-3</v>
      </c>
      <c r="AK46" s="8">
        <v>4.3999999999999997E-2</v>
      </c>
      <c r="AL46" s="8">
        <v>9.1999999999999998E-2</v>
      </c>
      <c r="AM46" s="8">
        <v>9.8000000000000004E-2</v>
      </c>
      <c r="AN46" s="8">
        <v>0.11600000000000001</v>
      </c>
      <c r="AO46" s="8">
        <v>0.107</v>
      </c>
    </row>
    <row r="47" spans="1:41">
      <c r="A47" s="5" t="s">
        <v>147</v>
      </c>
      <c r="B47" s="6">
        <v>0.20899999999999999</v>
      </c>
      <c r="C47" s="6">
        <v>8.9999999999999993E-3</v>
      </c>
      <c r="D47" s="6">
        <v>0.32200000000000001</v>
      </c>
      <c r="E47" s="6">
        <v>0.14099999999999999</v>
      </c>
      <c r="F47" s="6">
        <v>0.03</v>
      </c>
      <c r="G47" s="6">
        <v>7.0000000000000007E-2</v>
      </c>
      <c r="H47" s="8">
        <v>4.9000000000000002E-2</v>
      </c>
      <c r="I47" s="8">
        <v>2.1999999999999999E-2</v>
      </c>
      <c r="J47" s="8">
        <v>8.9999999999999993E-3</v>
      </c>
      <c r="K47" s="6">
        <v>5.7000000000000002E-2</v>
      </c>
      <c r="L47" s="6">
        <v>4.0000000000000001E-3</v>
      </c>
      <c r="M47" s="8">
        <v>0.14099999999999999</v>
      </c>
      <c r="N47" s="8">
        <v>5.0999999999999997E-2</v>
      </c>
      <c r="O47" s="8">
        <v>0</v>
      </c>
      <c r="P47" s="8">
        <v>4.0000000000000001E-3</v>
      </c>
      <c r="Q47" s="8">
        <v>3.0000000000000001E-3</v>
      </c>
      <c r="R47" s="8">
        <v>0.249</v>
      </c>
      <c r="S47" s="6">
        <v>0.33500000000000002</v>
      </c>
      <c r="T47" s="8">
        <v>0.33400000000000002</v>
      </c>
      <c r="U47" s="8">
        <v>0</v>
      </c>
      <c r="V47" s="6">
        <v>0.28100000000000003</v>
      </c>
      <c r="W47" s="6">
        <v>4.9000000000000002E-2</v>
      </c>
      <c r="X47" s="8">
        <v>3.4000000000000002E-2</v>
      </c>
      <c r="Y47" s="6">
        <v>0.38700000000000001</v>
      </c>
      <c r="Z47" s="6">
        <v>0.499</v>
      </c>
      <c r="AA47" s="8">
        <v>2.4E-2</v>
      </c>
      <c r="AB47" s="6">
        <v>0.26600000000000001</v>
      </c>
      <c r="AC47" s="8">
        <v>5.0000000000000001E-3</v>
      </c>
      <c r="AD47" s="6">
        <v>0.01</v>
      </c>
      <c r="AE47" s="8">
        <v>2.5999999999999999E-2</v>
      </c>
      <c r="AF47" s="8">
        <v>0</v>
      </c>
      <c r="AG47" s="8">
        <v>0.03</v>
      </c>
      <c r="AH47" s="8">
        <v>4.0000000000000001E-3</v>
      </c>
      <c r="AI47" s="6">
        <v>3.6999999999999998E-2</v>
      </c>
      <c r="AJ47" s="6">
        <v>0.03</v>
      </c>
      <c r="AK47" s="6">
        <v>5.7000000000000002E-2</v>
      </c>
      <c r="AL47" s="6">
        <v>0.24199999999999999</v>
      </c>
      <c r="AM47" s="6">
        <v>0.251</v>
      </c>
      <c r="AN47" s="6">
        <v>0.26600000000000001</v>
      </c>
      <c r="AO47" s="6">
        <v>0.20399999999999999</v>
      </c>
    </row>
    <row r="48" spans="1:41">
      <c r="A48" s="5" t="s">
        <v>148</v>
      </c>
      <c r="B48" s="6">
        <v>0.26700000000000002</v>
      </c>
      <c r="C48" s="8">
        <v>6.0000000000000001E-3</v>
      </c>
      <c r="D48" s="8">
        <v>5.8999999999999997E-2</v>
      </c>
      <c r="E48" s="6">
        <v>0.26100000000000001</v>
      </c>
      <c r="F48" s="6">
        <v>2.5999999999999999E-2</v>
      </c>
      <c r="G48" s="6">
        <v>0.04</v>
      </c>
      <c r="H48" s="8">
        <v>5.0999999999999997E-2</v>
      </c>
      <c r="I48" s="6">
        <v>1.2829999999999999</v>
      </c>
      <c r="J48" s="6">
        <v>1.6E-2</v>
      </c>
      <c r="K48" s="8">
        <v>2.3E-2</v>
      </c>
      <c r="L48" s="8">
        <v>1E-3</v>
      </c>
      <c r="M48" s="8">
        <v>0.10199999999999999</v>
      </c>
      <c r="N48" s="6">
        <v>0.13600000000000001</v>
      </c>
      <c r="O48" s="6">
        <v>2.3E-2</v>
      </c>
      <c r="P48" s="8">
        <v>1E-3</v>
      </c>
      <c r="Q48" s="8">
        <v>3.1E-2</v>
      </c>
      <c r="R48" s="8">
        <v>0.16500000000000001</v>
      </c>
      <c r="S48" s="8">
        <v>0.21099999999999999</v>
      </c>
      <c r="T48" s="6">
        <v>0.495</v>
      </c>
      <c r="U48" s="8">
        <v>2E-3</v>
      </c>
      <c r="V48" s="8">
        <v>0.191</v>
      </c>
      <c r="W48" s="6">
        <v>4.1000000000000002E-2</v>
      </c>
      <c r="X48" s="8">
        <v>1.9E-2</v>
      </c>
      <c r="Y48" s="8">
        <v>0.30099999999999999</v>
      </c>
      <c r="Z48" s="6">
        <v>0.34799999999999998</v>
      </c>
      <c r="AA48" s="8">
        <v>1.4999999999999999E-2</v>
      </c>
      <c r="AB48" s="8">
        <v>0.108</v>
      </c>
      <c r="AC48" s="8">
        <v>5.0000000000000001E-3</v>
      </c>
      <c r="AD48" s="8">
        <v>5.0000000000000001E-3</v>
      </c>
      <c r="AE48" s="6">
        <v>3.4000000000000002E-2</v>
      </c>
      <c r="AF48" s="8">
        <v>2E-3</v>
      </c>
      <c r="AG48" s="8">
        <v>3.3000000000000002E-2</v>
      </c>
      <c r="AH48" s="8">
        <v>1E-3</v>
      </c>
      <c r="AI48" s="6">
        <v>2.3E-2</v>
      </c>
      <c r="AJ48" s="8">
        <v>0</v>
      </c>
      <c r="AK48" s="8">
        <v>3.9E-2</v>
      </c>
      <c r="AL48" s="6">
        <v>0.17199999999999999</v>
      </c>
      <c r="AM48" s="6">
        <v>0.16800000000000001</v>
      </c>
      <c r="AN48" s="8">
        <v>0.183</v>
      </c>
      <c r="AO48" s="6">
        <v>0.154</v>
      </c>
    </row>
    <row r="49" spans="1:41">
      <c r="A49" s="5" t="s">
        <v>149</v>
      </c>
      <c r="B49" s="6">
        <v>1.202</v>
      </c>
      <c r="C49" s="6">
        <v>0.01</v>
      </c>
      <c r="D49" s="6">
        <v>0.104</v>
      </c>
      <c r="E49" s="6">
        <v>0.97199999999999998</v>
      </c>
      <c r="F49" s="8">
        <v>8.0000000000000002E-3</v>
      </c>
      <c r="G49" s="6">
        <v>4.1000000000000002E-2</v>
      </c>
      <c r="H49" s="6">
        <v>7.0000000000000007E-2</v>
      </c>
      <c r="I49" s="6">
        <v>0.75600000000000001</v>
      </c>
      <c r="J49" s="6">
        <v>1.014</v>
      </c>
      <c r="K49" s="6">
        <v>7.9000000000000001E-2</v>
      </c>
      <c r="L49" s="6">
        <v>3.0000000000000001E-3</v>
      </c>
      <c r="M49" s="6">
        <v>0.317</v>
      </c>
      <c r="N49" s="6">
        <v>0.64500000000000002</v>
      </c>
      <c r="O49" s="6">
        <v>7.4999999999999997E-2</v>
      </c>
      <c r="P49" s="6">
        <v>5.0000000000000001E-3</v>
      </c>
      <c r="Q49" s="8">
        <v>1.4999999999999999E-2</v>
      </c>
      <c r="R49" s="6">
        <v>1.883</v>
      </c>
      <c r="S49" s="6">
        <v>0.56599999999999995</v>
      </c>
      <c r="T49" s="6">
        <v>0.51700000000000002</v>
      </c>
      <c r="U49" s="6">
        <v>2.7E-2</v>
      </c>
      <c r="V49" s="6">
        <v>1.2250000000000001</v>
      </c>
      <c r="W49" s="6">
        <v>4.2999999999999997E-2</v>
      </c>
      <c r="X49" s="8">
        <v>3.7999999999999999E-2</v>
      </c>
      <c r="Y49" s="6">
        <v>1.1359999999999999</v>
      </c>
      <c r="Z49" s="6">
        <v>0.46899999999999997</v>
      </c>
      <c r="AA49" s="8">
        <v>2.1999999999999999E-2</v>
      </c>
      <c r="AB49" s="6">
        <v>0.17799999999999999</v>
      </c>
      <c r="AC49" s="8">
        <v>2E-3</v>
      </c>
      <c r="AD49" s="8">
        <v>5.0000000000000001E-3</v>
      </c>
      <c r="AE49" s="8">
        <v>2.7E-2</v>
      </c>
      <c r="AF49" s="6">
        <v>1.4E-2</v>
      </c>
      <c r="AG49" s="8">
        <v>2.3E-2</v>
      </c>
      <c r="AH49" s="8">
        <v>0</v>
      </c>
      <c r="AI49" s="8">
        <v>1.6E-2</v>
      </c>
      <c r="AJ49" s="8">
        <v>4.0000000000000001E-3</v>
      </c>
      <c r="AK49" s="6">
        <v>0.52900000000000003</v>
      </c>
      <c r="AL49" s="6">
        <v>0.19600000000000001</v>
      </c>
      <c r="AM49" s="6">
        <v>0.18099999999999999</v>
      </c>
      <c r="AN49" s="6">
        <v>0.222</v>
      </c>
      <c r="AO49" s="6">
        <v>0.159</v>
      </c>
    </row>
    <row r="50" spans="1:41">
      <c r="A50" s="5" t="s">
        <v>150</v>
      </c>
      <c r="B50" s="9">
        <v>7.6</v>
      </c>
      <c r="C50" s="9">
        <v>3.75</v>
      </c>
      <c r="D50" s="9">
        <v>7.86</v>
      </c>
      <c r="E50" s="9">
        <v>4.0599999999999996</v>
      </c>
      <c r="F50" s="9">
        <v>3.69</v>
      </c>
      <c r="G50" s="9">
        <v>7.58</v>
      </c>
      <c r="H50" s="9">
        <v>3.97</v>
      </c>
      <c r="I50" s="9">
        <v>1.74</v>
      </c>
      <c r="J50" s="9">
        <v>1.67</v>
      </c>
      <c r="K50" s="9">
        <v>7.7</v>
      </c>
      <c r="L50" s="9">
        <v>3.58</v>
      </c>
      <c r="M50" s="9">
        <v>49.18</v>
      </c>
      <c r="N50" s="9">
        <v>1.69</v>
      </c>
      <c r="O50" s="9">
        <v>1.67</v>
      </c>
      <c r="P50" s="9">
        <v>7.58</v>
      </c>
      <c r="Q50" s="9">
        <v>7.42</v>
      </c>
      <c r="R50" s="9">
        <v>1.98</v>
      </c>
      <c r="S50" s="9">
        <v>1.88</v>
      </c>
      <c r="T50" s="9">
        <v>2.2999999999999998</v>
      </c>
      <c r="U50" s="9">
        <v>1.79</v>
      </c>
      <c r="V50" s="9">
        <v>44.98</v>
      </c>
      <c r="W50" s="9">
        <v>7.25</v>
      </c>
      <c r="X50" s="9">
        <v>1.81</v>
      </c>
      <c r="Y50" s="9">
        <v>2.25</v>
      </c>
      <c r="Z50" s="9">
        <v>1.88</v>
      </c>
      <c r="AA50" s="9">
        <v>1.77</v>
      </c>
      <c r="AB50" s="9">
        <v>1.82</v>
      </c>
      <c r="AC50" s="9">
        <v>7.33</v>
      </c>
      <c r="AD50" s="9">
        <v>1.84</v>
      </c>
      <c r="AE50" s="9">
        <v>1.82</v>
      </c>
      <c r="AF50" s="9">
        <v>1.79</v>
      </c>
      <c r="AG50" s="9">
        <v>1.73</v>
      </c>
      <c r="AH50" s="9">
        <v>7.68</v>
      </c>
      <c r="AI50" s="9">
        <v>1.83</v>
      </c>
      <c r="AJ50" s="9">
        <v>1.83</v>
      </c>
      <c r="AK50" s="9">
        <v>1.81</v>
      </c>
      <c r="AL50" s="9">
        <v>19.559999999999999</v>
      </c>
      <c r="AM50" s="9">
        <v>2.02</v>
      </c>
      <c r="AN50" s="9">
        <v>19.36</v>
      </c>
      <c r="AO50" s="9">
        <v>0.71</v>
      </c>
    </row>
    <row r="51" spans="1:41">
      <c r="A51" s="5" t="s">
        <v>151</v>
      </c>
      <c r="B51" s="9">
        <v>0.112</v>
      </c>
      <c r="C51" s="9">
        <v>7.0000000000000001E-3</v>
      </c>
      <c r="D51" s="9">
        <v>6.3E-2</v>
      </c>
      <c r="E51" s="9">
        <v>0.11600000000000001</v>
      </c>
      <c r="F51" s="9">
        <v>0.01</v>
      </c>
      <c r="G51" s="9">
        <v>0.04</v>
      </c>
      <c r="H51" s="9">
        <v>5.8000000000000003E-2</v>
      </c>
      <c r="I51" s="9">
        <v>3.5999999999999997E-2</v>
      </c>
      <c r="J51" s="9">
        <v>1.0999999999999999E-2</v>
      </c>
      <c r="K51" s="9">
        <v>3.6999999999999998E-2</v>
      </c>
      <c r="L51" s="9">
        <v>2E-3</v>
      </c>
      <c r="M51" s="9">
        <v>0.183</v>
      </c>
      <c r="N51" s="9">
        <v>5.2999999999999999E-2</v>
      </c>
      <c r="O51" s="9">
        <v>7.0000000000000001E-3</v>
      </c>
      <c r="P51" s="9">
        <v>5.0000000000000001E-3</v>
      </c>
      <c r="Q51" s="9">
        <v>3.3000000000000002E-2</v>
      </c>
      <c r="R51" s="9">
        <v>0.34599999999999997</v>
      </c>
      <c r="S51" s="9">
        <v>0.22700000000000001</v>
      </c>
      <c r="T51" s="9">
        <v>0.36399999999999999</v>
      </c>
      <c r="U51" s="9">
        <v>1.4E-2</v>
      </c>
      <c r="V51" s="9">
        <v>0.255</v>
      </c>
      <c r="W51" s="9">
        <v>1.9E-2</v>
      </c>
      <c r="X51" s="9">
        <v>4.2000000000000003E-2</v>
      </c>
      <c r="Y51" s="9">
        <v>0.33600000000000002</v>
      </c>
      <c r="Z51" s="9">
        <v>0.183</v>
      </c>
      <c r="AA51" s="9">
        <v>2.5000000000000001E-2</v>
      </c>
      <c r="AB51" s="9">
        <v>0.17399999999999999</v>
      </c>
      <c r="AC51" s="9">
        <v>1.2E-2</v>
      </c>
      <c r="AD51" s="9">
        <v>8.0000000000000002E-3</v>
      </c>
      <c r="AE51" s="9">
        <v>0.03</v>
      </c>
      <c r="AF51" s="9">
        <v>7.0000000000000001E-3</v>
      </c>
      <c r="AG51" s="9">
        <v>3.5999999999999997E-2</v>
      </c>
      <c r="AH51" s="9">
        <v>5.0000000000000001E-3</v>
      </c>
      <c r="AI51" s="9">
        <v>2.3E-2</v>
      </c>
      <c r="AJ51" s="9">
        <v>4.0000000000000001E-3</v>
      </c>
      <c r="AK51" s="9">
        <v>4.4999999999999998E-2</v>
      </c>
      <c r="AL51" s="9">
        <v>0.17100000000000001</v>
      </c>
      <c r="AM51" s="9">
        <v>0.127</v>
      </c>
      <c r="AN51" s="9">
        <v>0.19700000000000001</v>
      </c>
      <c r="AO51" s="9">
        <v>0.14199999999999999</v>
      </c>
    </row>
    <row r="52" spans="1:41">
      <c r="A52" s="5" t="s">
        <v>152</v>
      </c>
      <c r="B52" s="9">
        <v>4.3999999999999997E-2</v>
      </c>
      <c r="C52" s="9">
        <v>3.0000000000000001E-3</v>
      </c>
      <c r="D52" s="9">
        <v>6.6000000000000003E-2</v>
      </c>
      <c r="E52" s="9">
        <v>2.4E-2</v>
      </c>
      <c r="F52" s="9">
        <v>1.2E-2</v>
      </c>
      <c r="G52" s="9">
        <v>2.3E-2</v>
      </c>
      <c r="H52" s="9">
        <v>1.6E-2</v>
      </c>
      <c r="I52" s="9">
        <v>1.7999999999999999E-2</v>
      </c>
      <c r="J52" s="9">
        <v>7.0000000000000001E-3</v>
      </c>
      <c r="K52" s="9">
        <v>8.9999999999999993E-3</v>
      </c>
      <c r="L52" s="9">
        <v>2E-3</v>
      </c>
      <c r="M52" s="9">
        <v>6.5000000000000002E-2</v>
      </c>
      <c r="N52" s="9">
        <v>3.1E-2</v>
      </c>
      <c r="O52" s="9">
        <v>5.0000000000000001E-3</v>
      </c>
      <c r="P52" s="9">
        <v>5.0000000000000001E-3</v>
      </c>
      <c r="Q52" s="9">
        <v>1.4E-2</v>
      </c>
      <c r="R52" s="9">
        <v>0.17899999999999999</v>
      </c>
      <c r="S52" s="9">
        <v>7.2999999999999995E-2</v>
      </c>
      <c r="T52" s="9">
        <v>0.16700000000000001</v>
      </c>
      <c r="U52" s="9">
        <v>1.4999999999999999E-2</v>
      </c>
      <c r="V52" s="9">
        <v>2.9000000000000001E-2</v>
      </c>
      <c r="W52" s="9">
        <v>1.6E-2</v>
      </c>
      <c r="X52" s="9">
        <v>2.4E-2</v>
      </c>
      <c r="Y52" s="9">
        <v>6.0999999999999999E-2</v>
      </c>
      <c r="Z52" s="9">
        <v>0.13400000000000001</v>
      </c>
      <c r="AA52" s="9">
        <v>6.0000000000000001E-3</v>
      </c>
      <c r="AB52" s="9">
        <v>3.4000000000000002E-2</v>
      </c>
      <c r="AC52" s="9">
        <v>8.9999999999999993E-3</v>
      </c>
      <c r="AD52" s="9">
        <v>3.0000000000000001E-3</v>
      </c>
      <c r="AE52" s="9">
        <v>2.8000000000000001E-2</v>
      </c>
      <c r="AF52" s="9">
        <v>8.0000000000000002E-3</v>
      </c>
      <c r="AG52" s="9">
        <v>2.5000000000000001E-2</v>
      </c>
      <c r="AH52" s="9">
        <v>4.0000000000000001E-3</v>
      </c>
      <c r="AI52" s="9">
        <v>1.2999999999999999E-2</v>
      </c>
      <c r="AJ52" s="9">
        <v>4.0000000000000001E-3</v>
      </c>
      <c r="AK52" s="9">
        <v>0.01</v>
      </c>
      <c r="AL52" s="9">
        <v>7.1999999999999995E-2</v>
      </c>
      <c r="AM52" s="9">
        <v>2.5000000000000001E-2</v>
      </c>
      <c r="AN52" s="9">
        <v>9.2999999999999999E-2</v>
      </c>
      <c r="AO52" s="9">
        <v>4.2999999999999997E-2</v>
      </c>
    </row>
    <row r="54" spans="1:41">
      <c r="B54" s="14" t="s">
        <v>153</v>
      </c>
      <c r="C54" s="15"/>
      <c r="D54" s="15"/>
    </row>
    <row r="55" spans="1:41">
      <c r="B55" s="16" t="s">
        <v>154</v>
      </c>
      <c r="C55" s="15"/>
      <c r="D55" s="15"/>
    </row>
    <row r="56" spans="1:41">
      <c r="B56" s="17" t="s">
        <v>155</v>
      </c>
      <c r="C56" s="15"/>
      <c r="D56" s="15"/>
    </row>
  </sheetData>
  <mergeCells count="3">
    <mergeCell ref="B54:D54"/>
    <mergeCell ref="B55:D55"/>
    <mergeCell ref="B56:D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4416-BBEA-4812-94F2-24562F63BFCB}">
  <dimension ref="A1:AO10"/>
  <sheetViews>
    <sheetView workbookViewId="0">
      <selection activeCell="K16" sqref="K16"/>
    </sheetView>
  </sheetViews>
  <sheetFormatPr defaultRowHeight="12.5"/>
  <sheetData>
    <row r="1" spans="1:41">
      <c r="A1" t="s">
        <v>161</v>
      </c>
      <c r="B1" t="s">
        <v>171</v>
      </c>
      <c r="C1" t="s">
        <v>175</v>
      </c>
      <c r="D1" t="s">
        <v>180</v>
      </c>
      <c r="E1" t="s">
        <v>188</v>
      </c>
      <c r="F1" t="s">
        <v>197</v>
      </c>
      <c r="G1" t="s">
        <v>202</v>
      </c>
      <c r="H1" t="s">
        <v>208</v>
      </c>
      <c r="I1" t="s">
        <v>215</v>
      </c>
      <c r="J1" t="s">
        <v>216</v>
      </c>
      <c r="K1" t="s">
        <v>217</v>
      </c>
      <c r="L1" t="s">
        <v>218</v>
      </c>
      <c r="M1" t="s">
        <v>219</v>
      </c>
      <c r="N1" t="s">
        <v>222</v>
      </c>
      <c r="O1" t="s">
        <v>231</v>
      </c>
      <c r="P1" t="s">
        <v>232</v>
      </c>
      <c r="Q1" t="s">
        <v>239</v>
      </c>
      <c r="R1" t="s">
        <v>247</v>
      </c>
      <c r="S1" t="s">
        <v>254</v>
      </c>
      <c r="T1" t="s">
        <v>263</v>
      </c>
      <c r="U1" t="s">
        <v>268</v>
      </c>
      <c r="V1" t="s">
        <v>277</v>
      </c>
      <c r="W1" t="s">
        <v>284</v>
      </c>
      <c r="X1" t="s">
        <v>287</v>
      </c>
      <c r="Y1" t="s">
        <v>294</v>
      </c>
      <c r="Z1" t="s">
        <v>303</v>
      </c>
      <c r="AA1" t="s">
        <v>305</v>
      </c>
      <c r="AB1" t="s">
        <v>311</v>
      </c>
      <c r="AC1" t="s">
        <v>313</v>
      </c>
      <c r="AD1" t="s">
        <v>320</v>
      </c>
      <c r="AE1" t="s">
        <v>325</v>
      </c>
      <c r="AF1" t="s">
        <v>333</v>
      </c>
      <c r="AG1" t="s">
        <v>342</v>
      </c>
      <c r="AH1" t="s">
        <v>348</v>
      </c>
      <c r="AI1" t="s">
        <v>350</v>
      </c>
      <c r="AJ1" t="s">
        <v>353</v>
      </c>
      <c r="AK1" t="s">
        <v>362</v>
      </c>
      <c r="AL1" t="s">
        <v>366</v>
      </c>
      <c r="AM1" t="s">
        <v>375</v>
      </c>
      <c r="AN1" t="s">
        <v>379</v>
      </c>
      <c r="AO1" t="s">
        <v>384</v>
      </c>
    </row>
    <row r="2" spans="1:41">
      <c r="A2" t="s">
        <v>162</v>
      </c>
      <c r="B2" t="s">
        <v>172</v>
      </c>
      <c r="C2" t="s">
        <v>172</v>
      </c>
      <c r="D2">
        <v>9.01E-2</v>
      </c>
      <c r="E2">
        <v>0.49299999999999999</v>
      </c>
      <c r="F2" t="s">
        <v>172</v>
      </c>
      <c r="G2" t="s">
        <v>172</v>
      </c>
      <c r="H2">
        <v>2.9700000000000001E-2</v>
      </c>
      <c r="I2" t="s">
        <v>172</v>
      </c>
      <c r="J2">
        <v>8.1899999999999994E-3</v>
      </c>
      <c r="K2">
        <v>0.16200000000000001</v>
      </c>
      <c r="L2">
        <v>0.214</v>
      </c>
      <c r="M2">
        <v>0.21199999999999999</v>
      </c>
      <c r="N2" t="s">
        <v>223</v>
      </c>
      <c r="O2" t="s">
        <v>172</v>
      </c>
      <c r="P2" t="s">
        <v>191</v>
      </c>
      <c r="Q2" t="s">
        <v>240</v>
      </c>
      <c r="R2" t="s">
        <v>248</v>
      </c>
      <c r="S2" t="s">
        <v>255</v>
      </c>
      <c r="T2" t="s">
        <v>264</v>
      </c>
      <c r="U2" t="s">
        <v>269</v>
      </c>
      <c r="V2" t="s">
        <v>278</v>
      </c>
      <c r="W2" t="s">
        <v>172</v>
      </c>
      <c r="X2" t="s">
        <v>172</v>
      </c>
      <c r="Y2" t="s">
        <v>295</v>
      </c>
      <c r="Z2" t="s">
        <v>304</v>
      </c>
      <c r="AA2" t="s">
        <v>306</v>
      </c>
      <c r="AB2" t="s">
        <v>312</v>
      </c>
      <c r="AC2" t="s">
        <v>195</v>
      </c>
      <c r="AD2" t="s">
        <v>321</v>
      </c>
      <c r="AE2" t="s">
        <v>326</v>
      </c>
      <c r="AF2" t="s">
        <v>334</v>
      </c>
      <c r="AG2" t="s">
        <v>172</v>
      </c>
      <c r="AH2" t="s">
        <v>349</v>
      </c>
      <c r="AI2" t="s">
        <v>351</v>
      </c>
      <c r="AJ2" t="s">
        <v>354</v>
      </c>
      <c r="AK2" t="s">
        <v>363</v>
      </c>
      <c r="AL2" t="s">
        <v>367</v>
      </c>
      <c r="AM2" t="s">
        <v>172</v>
      </c>
      <c r="AN2" t="s">
        <v>380</v>
      </c>
      <c r="AO2" t="s">
        <v>385</v>
      </c>
    </row>
    <row r="3" spans="1:41">
      <c r="A3" t="s">
        <v>163</v>
      </c>
      <c r="B3" t="s">
        <v>173</v>
      </c>
      <c r="C3" t="s">
        <v>176</v>
      </c>
      <c r="D3" t="s">
        <v>181</v>
      </c>
      <c r="E3" t="s">
        <v>190</v>
      </c>
      <c r="F3" t="s">
        <v>172</v>
      </c>
      <c r="G3" t="s">
        <v>203</v>
      </c>
      <c r="H3" t="s">
        <v>209</v>
      </c>
      <c r="I3" t="s">
        <v>172</v>
      </c>
      <c r="J3" t="s">
        <v>172</v>
      </c>
      <c r="K3">
        <v>0.193</v>
      </c>
      <c r="L3">
        <v>0.183</v>
      </c>
      <c r="M3">
        <v>0.129</v>
      </c>
      <c r="N3" t="s">
        <v>224</v>
      </c>
      <c r="O3" t="s">
        <v>172</v>
      </c>
      <c r="P3" t="s">
        <v>233</v>
      </c>
      <c r="Q3" t="s">
        <v>241</v>
      </c>
      <c r="R3" t="s">
        <v>249</v>
      </c>
      <c r="S3" t="s">
        <v>256</v>
      </c>
      <c r="T3" t="s">
        <v>265</v>
      </c>
      <c r="U3" t="s">
        <v>270</v>
      </c>
      <c r="V3" t="s">
        <v>279</v>
      </c>
      <c r="W3" t="s">
        <v>285</v>
      </c>
      <c r="X3" t="s">
        <v>288</v>
      </c>
      <c r="Y3" t="s">
        <v>296</v>
      </c>
      <c r="Z3">
        <v>2.06</v>
      </c>
      <c r="AA3" t="s">
        <v>307</v>
      </c>
      <c r="AB3">
        <v>4.99</v>
      </c>
      <c r="AC3" t="s">
        <v>177</v>
      </c>
      <c r="AD3" t="s">
        <v>172</v>
      </c>
      <c r="AE3" t="s">
        <v>327</v>
      </c>
      <c r="AF3" t="s">
        <v>335</v>
      </c>
      <c r="AG3" t="s">
        <v>343</v>
      </c>
      <c r="AH3">
        <v>4.63</v>
      </c>
      <c r="AI3">
        <v>2.34</v>
      </c>
      <c r="AJ3" t="s">
        <v>355</v>
      </c>
      <c r="AK3">
        <v>4.5599999999999996</v>
      </c>
      <c r="AL3" t="s">
        <v>368</v>
      </c>
      <c r="AM3" t="s">
        <v>376</v>
      </c>
      <c r="AN3" t="s">
        <v>172</v>
      </c>
      <c r="AO3" t="s">
        <v>386</v>
      </c>
    </row>
    <row r="4" spans="1:41">
      <c r="A4" t="s">
        <v>164</v>
      </c>
      <c r="B4" t="s">
        <v>172</v>
      </c>
      <c r="C4" t="s">
        <v>172</v>
      </c>
      <c r="D4" t="s">
        <v>182</v>
      </c>
      <c r="E4" t="s">
        <v>191</v>
      </c>
      <c r="F4" t="s">
        <v>172</v>
      </c>
      <c r="G4" t="s">
        <v>204</v>
      </c>
      <c r="H4" t="s">
        <v>210</v>
      </c>
      <c r="I4" t="s">
        <v>172</v>
      </c>
      <c r="J4" t="s">
        <v>172</v>
      </c>
      <c r="K4">
        <v>2.8799999999999999E-2</v>
      </c>
      <c r="L4">
        <v>0.16700000000000001</v>
      </c>
      <c r="M4">
        <v>0.18099999999999999</v>
      </c>
      <c r="N4" t="s">
        <v>225</v>
      </c>
      <c r="O4" t="s">
        <v>172</v>
      </c>
      <c r="P4" t="s">
        <v>234</v>
      </c>
      <c r="Q4" t="s">
        <v>242</v>
      </c>
      <c r="R4" t="s">
        <v>250</v>
      </c>
      <c r="S4" t="s">
        <v>257</v>
      </c>
      <c r="T4">
        <v>1.83</v>
      </c>
      <c r="U4" t="s">
        <v>271</v>
      </c>
      <c r="V4" t="s">
        <v>280</v>
      </c>
      <c r="W4" t="s">
        <v>172</v>
      </c>
      <c r="X4" t="s">
        <v>289</v>
      </c>
      <c r="Y4" t="s">
        <v>297</v>
      </c>
      <c r="Z4">
        <v>2.0499999999999998</v>
      </c>
      <c r="AA4" t="s">
        <v>308</v>
      </c>
      <c r="AB4">
        <v>3.93</v>
      </c>
      <c r="AC4" t="s">
        <v>314</v>
      </c>
      <c r="AD4" t="s">
        <v>172</v>
      </c>
      <c r="AE4" t="s">
        <v>172</v>
      </c>
      <c r="AF4" t="s">
        <v>336</v>
      </c>
      <c r="AG4" t="s">
        <v>172</v>
      </c>
      <c r="AH4">
        <v>4</v>
      </c>
      <c r="AI4">
        <v>2.41</v>
      </c>
      <c r="AJ4" t="s">
        <v>356</v>
      </c>
      <c r="AK4" t="s">
        <v>364</v>
      </c>
      <c r="AL4" t="s">
        <v>369</v>
      </c>
      <c r="AM4" t="s">
        <v>289</v>
      </c>
      <c r="AN4" t="s">
        <v>172</v>
      </c>
      <c r="AO4" t="s">
        <v>172</v>
      </c>
    </row>
    <row r="5" spans="1:41">
      <c r="A5" t="s">
        <v>165</v>
      </c>
      <c r="B5" t="s">
        <v>172</v>
      </c>
      <c r="C5" t="s">
        <v>172</v>
      </c>
      <c r="D5" t="s">
        <v>183</v>
      </c>
      <c r="E5" t="s">
        <v>192</v>
      </c>
      <c r="F5" t="s">
        <v>172</v>
      </c>
      <c r="G5" t="s">
        <v>172</v>
      </c>
      <c r="H5" t="s">
        <v>211</v>
      </c>
      <c r="I5" t="s">
        <v>172</v>
      </c>
      <c r="J5" t="s">
        <v>172</v>
      </c>
      <c r="K5">
        <v>7.0900000000000005E-2</v>
      </c>
      <c r="L5">
        <v>0.16200000000000001</v>
      </c>
      <c r="M5">
        <v>0.23899999999999999</v>
      </c>
      <c r="N5" t="s">
        <v>226</v>
      </c>
      <c r="O5" t="s">
        <v>172</v>
      </c>
      <c r="P5" t="s">
        <v>235</v>
      </c>
      <c r="Q5" t="s">
        <v>243</v>
      </c>
      <c r="R5" t="s">
        <v>251</v>
      </c>
      <c r="S5" t="s">
        <v>258</v>
      </c>
      <c r="T5" t="s">
        <v>266</v>
      </c>
      <c r="U5" t="s">
        <v>272</v>
      </c>
      <c r="V5" t="s">
        <v>172</v>
      </c>
      <c r="W5" t="s">
        <v>172</v>
      </c>
      <c r="X5" t="s">
        <v>172</v>
      </c>
      <c r="Y5" t="s">
        <v>298</v>
      </c>
      <c r="Z5">
        <v>1.77</v>
      </c>
      <c r="AA5" t="s">
        <v>309</v>
      </c>
      <c r="AB5">
        <v>3.82</v>
      </c>
      <c r="AC5" t="s">
        <v>315</v>
      </c>
      <c r="AD5" t="s">
        <v>172</v>
      </c>
      <c r="AE5" t="s">
        <v>328</v>
      </c>
      <c r="AF5" t="s">
        <v>337</v>
      </c>
      <c r="AG5" t="s">
        <v>344</v>
      </c>
      <c r="AH5">
        <v>4.33</v>
      </c>
      <c r="AI5" t="s">
        <v>352</v>
      </c>
      <c r="AJ5" t="s">
        <v>357</v>
      </c>
      <c r="AK5">
        <v>3.53</v>
      </c>
      <c r="AL5" t="s">
        <v>370</v>
      </c>
      <c r="AM5" t="s">
        <v>377</v>
      </c>
      <c r="AN5" t="s">
        <v>328</v>
      </c>
      <c r="AO5" t="s">
        <v>172</v>
      </c>
    </row>
    <row r="6" spans="1:41">
      <c r="A6" t="s">
        <v>166</v>
      </c>
      <c r="B6" t="s">
        <v>172</v>
      </c>
      <c r="C6" t="s">
        <v>172</v>
      </c>
      <c r="D6" t="s">
        <v>172</v>
      </c>
      <c r="E6" t="s">
        <v>193</v>
      </c>
      <c r="F6" t="s">
        <v>198</v>
      </c>
      <c r="G6" t="s">
        <v>205</v>
      </c>
      <c r="H6" t="s">
        <v>212</v>
      </c>
      <c r="I6" t="s">
        <v>172</v>
      </c>
      <c r="J6">
        <v>1.4E-2</v>
      </c>
      <c r="K6">
        <v>0.109</v>
      </c>
      <c r="L6">
        <v>0.16300000000000001</v>
      </c>
      <c r="M6">
        <v>0.22700000000000001</v>
      </c>
      <c r="N6" t="s">
        <v>227</v>
      </c>
      <c r="O6" t="s">
        <v>172</v>
      </c>
      <c r="P6" t="s">
        <v>236</v>
      </c>
      <c r="Q6" t="s">
        <v>244</v>
      </c>
      <c r="R6" t="s">
        <v>252</v>
      </c>
      <c r="S6" t="s">
        <v>259</v>
      </c>
      <c r="T6">
        <v>2.2799999999999998</v>
      </c>
      <c r="U6" t="s">
        <v>273</v>
      </c>
      <c r="V6" t="s">
        <v>281</v>
      </c>
      <c r="W6" t="s">
        <v>172</v>
      </c>
      <c r="X6" t="s">
        <v>290</v>
      </c>
      <c r="Y6" t="s">
        <v>299</v>
      </c>
      <c r="Z6">
        <v>2.21</v>
      </c>
      <c r="AA6" t="s">
        <v>310</v>
      </c>
      <c r="AB6">
        <v>5.0199999999999996</v>
      </c>
      <c r="AC6" t="s">
        <v>316</v>
      </c>
      <c r="AD6" t="s">
        <v>322</v>
      </c>
      <c r="AE6" t="s">
        <v>329</v>
      </c>
      <c r="AF6" t="s">
        <v>338</v>
      </c>
      <c r="AG6" t="s">
        <v>345</v>
      </c>
      <c r="AH6">
        <v>4.67</v>
      </c>
      <c r="AI6">
        <v>3.17</v>
      </c>
      <c r="AJ6" t="s">
        <v>358</v>
      </c>
      <c r="AK6">
        <v>4.6150000000000002</v>
      </c>
      <c r="AL6" t="s">
        <v>371</v>
      </c>
      <c r="AM6" t="s">
        <v>283</v>
      </c>
      <c r="AN6" t="s">
        <v>381</v>
      </c>
      <c r="AO6" t="s">
        <v>387</v>
      </c>
    </row>
    <row r="7" spans="1:41">
      <c r="A7" t="s">
        <v>167</v>
      </c>
      <c r="B7" t="s">
        <v>172</v>
      </c>
      <c r="C7" t="s">
        <v>177</v>
      </c>
      <c r="D7" t="s">
        <v>184</v>
      </c>
      <c r="E7" t="s">
        <v>172</v>
      </c>
      <c r="F7" t="s">
        <v>199</v>
      </c>
      <c r="G7" t="s">
        <v>206</v>
      </c>
      <c r="H7" t="s">
        <v>213</v>
      </c>
      <c r="I7" t="s">
        <v>172</v>
      </c>
      <c r="J7">
        <v>1.78E-2</v>
      </c>
      <c r="K7">
        <v>0.10100000000000001</v>
      </c>
      <c r="L7" t="s">
        <v>172</v>
      </c>
      <c r="M7">
        <v>0.19</v>
      </c>
      <c r="N7" t="s">
        <v>228</v>
      </c>
      <c r="O7" t="s">
        <v>172</v>
      </c>
      <c r="P7" t="s">
        <v>221</v>
      </c>
      <c r="Q7" t="s">
        <v>245</v>
      </c>
      <c r="R7" t="s">
        <v>228</v>
      </c>
      <c r="S7" t="s">
        <v>260</v>
      </c>
      <c r="T7">
        <v>1.92</v>
      </c>
      <c r="U7" t="s">
        <v>274</v>
      </c>
      <c r="V7" t="s">
        <v>282</v>
      </c>
      <c r="W7" t="s">
        <v>172</v>
      </c>
      <c r="X7" t="s">
        <v>291</v>
      </c>
      <c r="Y7" t="s">
        <v>300</v>
      </c>
      <c r="Z7">
        <v>1.91</v>
      </c>
      <c r="AA7" t="s">
        <v>186</v>
      </c>
      <c r="AB7">
        <v>4.6399999999999997</v>
      </c>
      <c r="AC7" t="s">
        <v>317</v>
      </c>
      <c r="AD7" t="s">
        <v>323</v>
      </c>
      <c r="AE7" t="s">
        <v>330</v>
      </c>
      <c r="AF7" t="s">
        <v>339</v>
      </c>
      <c r="AG7" t="s">
        <v>346</v>
      </c>
      <c r="AH7">
        <v>4.63</v>
      </c>
      <c r="AI7">
        <v>3.29</v>
      </c>
      <c r="AJ7" t="s">
        <v>359</v>
      </c>
      <c r="AK7">
        <v>4.3</v>
      </c>
      <c r="AL7" t="s">
        <v>372</v>
      </c>
      <c r="AM7" t="s">
        <v>172</v>
      </c>
      <c r="AN7" t="s">
        <v>382</v>
      </c>
      <c r="AO7" t="s">
        <v>388</v>
      </c>
    </row>
    <row r="8" spans="1:41">
      <c r="A8" t="s">
        <v>168</v>
      </c>
      <c r="B8" t="s">
        <v>174</v>
      </c>
      <c r="C8" t="s">
        <v>178</v>
      </c>
      <c r="D8" t="s">
        <v>185</v>
      </c>
      <c r="E8" t="s">
        <v>194</v>
      </c>
      <c r="F8" t="s">
        <v>200</v>
      </c>
      <c r="G8" t="s">
        <v>189</v>
      </c>
      <c r="H8" t="s">
        <v>174</v>
      </c>
      <c r="I8" t="s">
        <v>172</v>
      </c>
      <c r="J8">
        <v>1.0999999999999999E-2</v>
      </c>
      <c r="K8">
        <v>0.13100000000000001</v>
      </c>
      <c r="L8">
        <v>0.19600000000000001</v>
      </c>
      <c r="M8">
        <v>0.20599999999999999</v>
      </c>
      <c r="N8" t="s">
        <v>229</v>
      </c>
      <c r="O8" t="s">
        <v>172</v>
      </c>
      <c r="P8" t="s">
        <v>237</v>
      </c>
      <c r="Q8" t="s">
        <v>235</v>
      </c>
      <c r="R8" t="s">
        <v>253</v>
      </c>
      <c r="S8" t="s">
        <v>261</v>
      </c>
      <c r="T8" t="s">
        <v>265</v>
      </c>
      <c r="U8" t="s">
        <v>275</v>
      </c>
      <c r="V8" t="s">
        <v>283</v>
      </c>
      <c r="W8" t="s">
        <v>286</v>
      </c>
      <c r="X8" t="s">
        <v>292</v>
      </c>
      <c r="Y8" t="s">
        <v>301</v>
      </c>
      <c r="Z8">
        <v>1.95</v>
      </c>
      <c r="AA8" t="s">
        <v>185</v>
      </c>
      <c r="AB8">
        <v>4.1399999999999997</v>
      </c>
      <c r="AC8" t="s">
        <v>318</v>
      </c>
      <c r="AD8" t="s">
        <v>324</v>
      </c>
      <c r="AE8" t="s">
        <v>331</v>
      </c>
      <c r="AF8" t="s">
        <v>340</v>
      </c>
      <c r="AG8" t="s">
        <v>347</v>
      </c>
      <c r="AH8">
        <v>3.6</v>
      </c>
      <c r="AI8">
        <v>2.2999999999999998</v>
      </c>
      <c r="AJ8" t="s">
        <v>360</v>
      </c>
      <c r="AK8" t="s">
        <v>365</v>
      </c>
      <c r="AL8" t="s">
        <v>373</v>
      </c>
      <c r="AM8" t="s">
        <v>378</v>
      </c>
      <c r="AN8" t="s">
        <v>383</v>
      </c>
      <c r="AO8" t="s">
        <v>309</v>
      </c>
    </row>
    <row r="9" spans="1:41">
      <c r="A9" t="s">
        <v>169</v>
      </c>
      <c r="B9" t="s">
        <v>172</v>
      </c>
      <c r="C9" t="s">
        <v>172</v>
      </c>
      <c r="D9">
        <v>0.104</v>
      </c>
      <c r="E9">
        <v>0.20699999999999999</v>
      </c>
      <c r="F9">
        <v>4.1500000000000004</v>
      </c>
      <c r="G9">
        <v>0.435</v>
      </c>
      <c r="H9">
        <v>5.0599999999999999E-2</v>
      </c>
      <c r="I9" t="s">
        <v>172</v>
      </c>
      <c r="J9" t="s">
        <v>172</v>
      </c>
      <c r="K9">
        <v>6.9900000000000004E-2</v>
      </c>
      <c r="L9">
        <v>0.188</v>
      </c>
      <c r="M9">
        <v>0.246</v>
      </c>
      <c r="N9">
        <v>0.34699999999999998</v>
      </c>
      <c r="O9" t="s">
        <v>172</v>
      </c>
      <c r="P9">
        <v>0.19400000000000001</v>
      </c>
      <c r="Q9" t="s">
        <v>172</v>
      </c>
      <c r="R9">
        <v>0.30399999999999999</v>
      </c>
      <c r="S9">
        <v>2.54</v>
      </c>
      <c r="T9">
        <v>1.64</v>
      </c>
      <c r="U9">
        <v>0.14099999999999999</v>
      </c>
      <c r="V9" t="s">
        <v>172</v>
      </c>
      <c r="W9" t="s">
        <v>172</v>
      </c>
      <c r="X9" t="s">
        <v>172</v>
      </c>
      <c r="Y9">
        <v>6.45E-3</v>
      </c>
      <c r="Z9">
        <v>1.71</v>
      </c>
      <c r="AA9">
        <v>4.41E-2</v>
      </c>
      <c r="AB9">
        <v>4.58</v>
      </c>
      <c r="AC9">
        <v>1.04</v>
      </c>
      <c r="AD9" t="s">
        <v>172</v>
      </c>
      <c r="AE9">
        <v>4.2999999999999997E-2</v>
      </c>
      <c r="AF9">
        <v>0.66400000000000003</v>
      </c>
      <c r="AG9" t="s">
        <v>172</v>
      </c>
      <c r="AH9">
        <v>3.8435886400000001</v>
      </c>
      <c r="AI9">
        <v>1.99</v>
      </c>
      <c r="AJ9">
        <v>9.2499999999999999E-2</v>
      </c>
      <c r="AK9">
        <v>3.94</v>
      </c>
      <c r="AL9">
        <v>0.13400000000000001</v>
      </c>
      <c r="AM9" t="s">
        <v>172</v>
      </c>
      <c r="AN9" t="s">
        <v>172</v>
      </c>
      <c r="AO9">
        <v>7.4200000000000002E-2</v>
      </c>
    </row>
    <row r="10" spans="1:41">
      <c r="A10" t="s">
        <v>170</v>
      </c>
      <c r="B10" t="s">
        <v>172</v>
      </c>
      <c r="C10" t="s">
        <v>179</v>
      </c>
      <c r="D10" t="s">
        <v>187</v>
      </c>
      <c r="E10" t="s">
        <v>196</v>
      </c>
      <c r="F10" t="s">
        <v>201</v>
      </c>
      <c r="G10" t="s">
        <v>207</v>
      </c>
      <c r="H10" t="s">
        <v>214</v>
      </c>
      <c r="I10" t="s">
        <v>172</v>
      </c>
      <c r="J10" t="s">
        <v>172</v>
      </c>
      <c r="K10">
        <v>2.86E-2</v>
      </c>
      <c r="L10">
        <v>0.14899999999999999</v>
      </c>
      <c r="M10">
        <v>0.23400000000000001</v>
      </c>
      <c r="N10" t="s">
        <v>230</v>
      </c>
      <c r="O10" t="s">
        <v>172</v>
      </c>
      <c r="P10" t="s">
        <v>238</v>
      </c>
      <c r="Q10" t="s">
        <v>246</v>
      </c>
      <c r="R10" t="s">
        <v>220</v>
      </c>
      <c r="S10" t="s">
        <v>262</v>
      </c>
      <c r="T10" t="s">
        <v>267</v>
      </c>
      <c r="U10" t="s">
        <v>276</v>
      </c>
      <c r="V10" t="s">
        <v>172</v>
      </c>
      <c r="W10" t="s">
        <v>172</v>
      </c>
      <c r="X10" t="s">
        <v>293</v>
      </c>
      <c r="Y10" t="s">
        <v>302</v>
      </c>
      <c r="Z10">
        <v>1.78</v>
      </c>
      <c r="AA10" t="s">
        <v>172</v>
      </c>
      <c r="AB10">
        <v>4.22</v>
      </c>
      <c r="AC10" t="s">
        <v>319</v>
      </c>
      <c r="AD10" t="s">
        <v>172</v>
      </c>
      <c r="AE10" t="s">
        <v>332</v>
      </c>
      <c r="AF10" t="s">
        <v>341</v>
      </c>
      <c r="AG10" t="s">
        <v>172</v>
      </c>
      <c r="AH10">
        <v>3.5</v>
      </c>
      <c r="AI10">
        <v>2.06</v>
      </c>
      <c r="AJ10" t="s">
        <v>361</v>
      </c>
      <c r="AK10">
        <v>3.7</v>
      </c>
      <c r="AL10" t="s">
        <v>374</v>
      </c>
      <c r="AM10" t="s">
        <v>172</v>
      </c>
      <c r="AN10" t="s">
        <v>172</v>
      </c>
      <c r="AO1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WetCenter Only</vt:lpstr>
      <vt:lpstr>Spatial PFAS Data</vt:lpstr>
      <vt:lpstr>mapping 11_26_25</vt:lpstr>
      <vt:lpstr>Raw</vt:lpstr>
      <vt:lpstr>first 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Vera</cp:lastModifiedBy>
  <dcterms:created xsi:type="dcterms:W3CDTF">2025-11-30T14:16:20Z</dcterms:created>
  <dcterms:modified xsi:type="dcterms:W3CDTF">2025-11-30T14:18:06Z</dcterms:modified>
</cp:coreProperties>
</file>